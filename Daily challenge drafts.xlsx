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rtl\Desktop\statstreaks\"/>
    </mc:Choice>
  </mc:AlternateContent>
  <xr:revisionPtr revIDLastSave="0" documentId="13_ncr:1_{158095D7-8EAC-4746-8080-F330674C90B5}" xr6:coauthVersionLast="47" xr6:coauthVersionMax="47" xr10:uidLastSave="{00000000-0000-0000-0000-000000000000}"/>
  <bookViews>
    <workbookView xWindow="-110" yWindow="-110" windowWidth="19420" windowHeight="10300" xr2:uid="{09488A7D-DFB6-4DD5-964F-0B9C4180CBFA}"/>
  </bookViews>
  <sheets>
    <sheet name="Mine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30" i="3" l="1"/>
  <c r="I230" i="3"/>
  <c r="H230" i="3"/>
  <c r="N229" i="3"/>
  <c r="L229" i="3"/>
  <c r="K229" i="3"/>
  <c r="J229" i="3"/>
  <c r="O228" i="3"/>
  <c r="M228" i="3"/>
  <c r="L228" i="3"/>
  <c r="O227" i="3"/>
  <c r="N227" i="3"/>
  <c r="S128" i="3"/>
  <c r="S127" i="3"/>
  <c r="S126" i="3"/>
  <c r="S125" i="3"/>
  <c r="S124" i="3"/>
  <c r="S123" i="3"/>
  <c r="S122" i="3"/>
  <c r="S121" i="3"/>
  <c r="S120" i="3"/>
  <c r="S119" i="3"/>
  <c r="S118" i="3"/>
  <c r="S117" i="3"/>
  <c r="S116" i="3"/>
  <c r="S115" i="3"/>
  <c r="S182" i="3" s="1"/>
  <c r="O230" i="3"/>
  <c r="N230" i="3"/>
  <c r="M230" i="3"/>
  <c r="L230" i="3"/>
  <c r="K230" i="3"/>
  <c r="G230" i="3"/>
  <c r="F230" i="3"/>
  <c r="S114" i="3"/>
  <c r="S181" i="3" s="1"/>
  <c r="O229" i="3"/>
  <c r="M229" i="3"/>
  <c r="I229" i="3"/>
  <c r="H229" i="3"/>
  <c r="G229" i="3"/>
  <c r="F229" i="3"/>
  <c r="S113" i="3"/>
  <c r="S180" i="3" s="1"/>
  <c r="N228" i="3"/>
  <c r="K228" i="3"/>
  <c r="J228" i="3"/>
  <c r="I228" i="3"/>
  <c r="H228" i="3"/>
  <c r="G228" i="3"/>
  <c r="F228" i="3"/>
  <c r="S112" i="3"/>
  <c r="S179" i="3" s="1"/>
  <c r="M227" i="3"/>
  <c r="L227" i="3"/>
  <c r="K227" i="3"/>
  <c r="J227" i="3"/>
  <c r="I227" i="3"/>
  <c r="H227" i="3"/>
  <c r="G227" i="3"/>
  <c r="F227" i="3"/>
  <c r="S111" i="3"/>
  <c r="S178" i="3" s="1"/>
  <c r="O226" i="3"/>
  <c r="N226" i="3"/>
  <c r="M226" i="3"/>
  <c r="L226" i="3"/>
  <c r="K226" i="3"/>
  <c r="J226" i="3"/>
  <c r="I226" i="3"/>
  <c r="H226" i="3"/>
  <c r="G226" i="3"/>
  <c r="F226" i="3"/>
  <c r="S110" i="3"/>
  <c r="S177" i="3" s="1"/>
  <c r="T109" i="3"/>
  <c r="S176" i="3" s="1"/>
  <c r="T108" i="3"/>
  <c r="S175" i="3" s="1"/>
  <c r="T107" i="3"/>
  <c r="S174" i="3" s="1"/>
  <c r="T106" i="3"/>
  <c r="S173" i="3" s="1"/>
  <c r="T105" i="3"/>
  <c r="S172" i="3" s="1"/>
  <c r="T104" i="3"/>
  <c r="S171" i="3" s="1"/>
  <c r="T103" i="3"/>
  <c r="S170" i="3" s="1"/>
  <c r="T102" i="3"/>
  <c r="S169" i="3" s="1"/>
  <c r="S168" i="3"/>
  <c r="T100" i="3"/>
  <c r="S167" i="3" s="1"/>
  <c r="T99" i="3"/>
  <c r="S166" i="3" s="1"/>
  <c r="T98" i="3"/>
  <c r="S165" i="3" s="1"/>
  <c r="T97" i="3"/>
  <c r="S164" i="3" s="1"/>
  <c r="T96" i="3"/>
  <c r="S163" i="3" s="1"/>
  <c r="T95" i="3"/>
  <c r="S162" i="3" s="1"/>
  <c r="T94" i="3"/>
  <c r="S161" i="3" s="1"/>
  <c r="T93" i="3"/>
  <c r="S160" i="3" s="1"/>
  <c r="S159" i="3"/>
  <c r="S158" i="3"/>
  <c r="T92" i="3"/>
  <c r="S157" i="3" s="1"/>
  <c r="T91" i="3"/>
  <c r="S156" i="3" s="1"/>
  <c r="T90" i="3"/>
  <c r="S155" i="3" s="1"/>
  <c r="T89" i="3"/>
  <c r="S154" i="3" s="1"/>
  <c r="S153" i="3"/>
  <c r="T88" i="3"/>
  <c r="S152" i="3" s="1"/>
  <c r="S151" i="3"/>
  <c r="S150" i="3"/>
  <c r="S149" i="3"/>
  <c r="T87" i="3"/>
  <c r="S148" i="3" s="1"/>
  <c r="T86" i="3"/>
  <c r="S147" i="3" s="1"/>
  <c r="T85" i="3"/>
  <c r="S146" i="3" s="1"/>
  <c r="T84" i="3"/>
  <c r="S145" i="3" s="1"/>
  <c r="T83" i="3"/>
  <c r="S144" i="3" s="1"/>
  <c r="T82" i="3"/>
  <c r="S143" i="3" s="1"/>
  <c r="S142" i="3"/>
  <c r="T81" i="3"/>
  <c r="S141" i="3" s="1"/>
  <c r="T80" i="3"/>
  <c r="S140" i="3" s="1"/>
  <c r="S139" i="3"/>
  <c r="T79" i="3"/>
  <c r="S138" i="3" s="1"/>
  <c r="S137" i="3"/>
  <c r="T78" i="3"/>
  <c r="S136" i="3" s="1"/>
  <c r="S135" i="3"/>
  <c r="T77" i="3"/>
  <c r="S134" i="3" s="1"/>
  <c r="S133" i="3"/>
  <c r="T76" i="3"/>
  <c r="S132" i="3" s="1"/>
  <c r="S131" i="3"/>
  <c r="T75" i="3"/>
  <c r="S130" i="3" s="1"/>
  <c r="S129" i="3"/>
  <c r="E230" i="3"/>
  <c r="E229" i="3"/>
  <c r="E228" i="3"/>
  <c r="E227" i="3"/>
  <c r="E226" i="3"/>
</calcChain>
</file>

<file path=xl/sharedStrings.xml><?xml version="1.0" encoding="utf-8"?>
<sst xmlns="http://schemas.openxmlformats.org/spreadsheetml/2006/main" count="1097" uniqueCount="717">
  <si>
    <t>Stat</t>
  </si>
  <si>
    <t>Player 1</t>
  </si>
  <si>
    <t>Player 2</t>
  </si>
  <si>
    <t>Player 3</t>
  </si>
  <si>
    <t>Player 4</t>
  </si>
  <si>
    <t>Player 5</t>
  </si>
  <si>
    <t>Player 6</t>
  </si>
  <si>
    <t>Player 7</t>
  </si>
  <si>
    <t>Player 8</t>
  </si>
  <si>
    <t>Player 9</t>
  </si>
  <si>
    <t>Player 10</t>
  </si>
  <si>
    <t>Player 11</t>
  </si>
  <si>
    <t>PL</t>
  </si>
  <si>
    <t>Goals</t>
  </si>
  <si>
    <t>Theme</t>
  </si>
  <si>
    <t>French legends</t>
  </si>
  <si>
    <t>German legends</t>
  </si>
  <si>
    <t>Spanish legends</t>
  </si>
  <si>
    <t>Dutch legends</t>
  </si>
  <si>
    <t>Portuguese legends</t>
  </si>
  <si>
    <t>Argentinian legends</t>
  </si>
  <si>
    <t>Brazilian legends</t>
  </si>
  <si>
    <t>African legends</t>
  </si>
  <si>
    <t>Santi Cazorla - 25</t>
  </si>
  <si>
    <t>Marcos Alonso - 26</t>
  </si>
  <si>
    <t>Alvaro Morata - 16</t>
  </si>
  <si>
    <t>Mikel Arteta - 41</t>
  </si>
  <si>
    <t>Pedro - 29</t>
  </si>
  <si>
    <t>Cesc Fabregas - 50</t>
  </si>
  <si>
    <t>Juan Mata - 52</t>
  </si>
  <si>
    <t>David Silva - 60</t>
  </si>
  <si>
    <t>Xabi Alonso - 14</t>
  </si>
  <si>
    <t>Diego Costa - 53</t>
  </si>
  <si>
    <t>Bruno Fernandes - 67</t>
  </si>
  <si>
    <t>Ricardo Carvahlo - 7</t>
  </si>
  <si>
    <t>Nani - 29</t>
  </si>
  <si>
    <t>Raul Meireles - 7</t>
  </si>
  <si>
    <t>Cristiano Ronaldo - 103</t>
  </si>
  <si>
    <t>Ruben Neves - 21</t>
  </si>
  <si>
    <t>Diogo Jota - 63</t>
  </si>
  <si>
    <t>Bernado Silva - 43</t>
  </si>
  <si>
    <t>Luis BoaMorte - 29</t>
  </si>
  <si>
    <t>Joao Felix - 5</t>
  </si>
  <si>
    <t>Jose Bosingwa - 3</t>
  </si>
  <si>
    <t>Italian legends</t>
  </si>
  <si>
    <t>Federico Macheda - 4</t>
  </si>
  <si>
    <t>Jorginho - 21</t>
  </si>
  <si>
    <t>Fabio Borini - 16</t>
  </si>
  <si>
    <t>Roberto Di Matteo - 15</t>
  </si>
  <si>
    <t>Gianfranco Zola - 59</t>
  </si>
  <si>
    <t>Paolo Di Canio - 66</t>
  </si>
  <si>
    <t>Benito Carbone - 35</t>
  </si>
  <si>
    <t>Massimo Maccarone - 18</t>
  </si>
  <si>
    <t>Mario Balotelli - 21</t>
  </si>
  <si>
    <t>Fabrizio Ravanelli - 25</t>
  </si>
  <si>
    <t>Graziano Pelle - 23</t>
  </si>
  <si>
    <t>Ilkay Gundogan - 44</t>
  </si>
  <si>
    <t>Kai Havertz - 32</t>
  </si>
  <si>
    <t>Timo Werner - 12</t>
  </si>
  <si>
    <t>Mesut Ozil - 33</t>
  </si>
  <si>
    <t>Leroy Sane - 25</t>
  </si>
  <si>
    <t>Pascal Gros - 30</t>
  </si>
  <si>
    <t>Robert Huth - 21</t>
  </si>
  <si>
    <t>Dietmar Hamann - 12</t>
  </si>
  <si>
    <t>Antonio Rudiger - 9</t>
  </si>
  <si>
    <t>Robert Pires - 62</t>
  </si>
  <si>
    <t>Thierry Henry - 175</t>
  </si>
  <si>
    <t>Djibril Cisse - 32</t>
  </si>
  <si>
    <t>Nicolas Anelka - 125</t>
  </si>
  <si>
    <t>Patrick Vieira - 31</t>
  </si>
  <si>
    <t>Louis Saha - 85</t>
  </si>
  <si>
    <t>Alexandre Lacazette - 54</t>
  </si>
  <si>
    <t>Anthony Martial - 63</t>
  </si>
  <si>
    <t>David Ginola - 21</t>
  </si>
  <si>
    <t>Samir Nasri - 36</t>
  </si>
  <si>
    <t>Steed Malbranque - 39</t>
  </si>
  <si>
    <t>English legends</t>
  </si>
  <si>
    <t>Alan Shearer - 260</t>
  </si>
  <si>
    <t>Paul Scholes - 107</t>
  </si>
  <si>
    <t>Darren Bent - 106</t>
  </si>
  <si>
    <t>Steven Gerrard - 120</t>
  </si>
  <si>
    <t>Robbie Fowler - 163</t>
  </si>
  <si>
    <t>Andrew Cole - 187</t>
  </si>
  <si>
    <t>Peter Crouch - 108</t>
  </si>
  <si>
    <t>Kevin Phillips - 92</t>
  </si>
  <si>
    <t>Jamie Vardy - 136</t>
  </si>
  <si>
    <t>Ian Wright - 113</t>
  </si>
  <si>
    <t>Jermain Defoe - 162</t>
  </si>
  <si>
    <t>Robin van Persioe - 144</t>
  </si>
  <si>
    <t>Dirk Kuyt -51</t>
  </si>
  <si>
    <t>Jimmy Floyd Hasselbaink - 127</t>
  </si>
  <si>
    <t>Rafael van der Vaart - 24</t>
  </si>
  <si>
    <t>Ruud van Nistelrooy - 95</t>
  </si>
  <si>
    <t>Georginio Wijnaldum - 27</t>
  </si>
  <si>
    <t>Dennis Bergkamp - 87</t>
  </si>
  <si>
    <t>Marc Overmars - 25</t>
  </si>
  <si>
    <t>Arjen Robben - 15</t>
  </si>
  <si>
    <t>Virgil van Dijk - 22</t>
  </si>
  <si>
    <t>Nathan Ake - 18</t>
  </si>
  <si>
    <t>David Luiz - 14</t>
  </si>
  <si>
    <t>Gabriel Jesus - 78</t>
  </si>
  <si>
    <t>Juninho - 29</t>
  </si>
  <si>
    <t>Oscar - 21</t>
  </si>
  <si>
    <t>Fernandinho - 20</t>
  </si>
  <si>
    <t>Willian - 47</t>
  </si>
  <si>
    <t>Roberto Firmino - 82</t>
  </si>
  <si>
    <t>Richarlison - 71</t>
  </si>
  <si>
    <t>Philippe Coutinho - 47</t>
  </si>
  <si>
    <t>Raphinha - 17</t>
  </si>
  <si>
    <t>Robinho - 14</t>
  </si>
  <si>
    <t>Fabrizio Coloccini - 4</t>
  </si>
  <si>
    <t>Julian Alvarez - 20</t>
  </si>
  <si>
    <t>Carlos Tevez - 84</t>
  </si>
  <si>
    <t>Alexis MacAllister - 21</t>
  </si>
  <si>
    <t>Pablo Zabaleta - 9</t>
  </si>
  <si>
    <t>Gonzalo Higuain - 5</t>
  </si>
  <si>
    <t>Erik Lamela - 17</t>
  </si>
  <si>
    <t>Hernan Crespo - 20</t>
  </si>
  <si>
    <t>Maxi Rodriguez -15</t>
  </si>
  <si>
    <t>Juan Sebastien Veron - 8</t>
  </si>
  <si>
    <t>Leonardon Ulloa - 19</t>
  </si>
  <si>
    <t>Belgian legends</t>
  </si>
  <si>
    <t>Divock Origi - 22</t>
  </si>
  <si>
    <t>Kevin Mirallas - 29</t>
  </si>
  <si>
    <t>Eden Hazard - 85</t>
  </si>
  <si>
    <t>Kevin De Bruyne - 72</t>
  </si>
  <si>
    <t>Michy Batshouayi - 15</t>
  </si>
  <si>
    <t>Adnan Januzaj - 5</t>
  </si>
  <si>
    <t>Christian Benteke - 86</t>
  </si>
  <si>
    <t>Marouane Fellaini - 37</t>
  </si>
  <si>
    <t>Thomas Vermaelen - 13</t>
  </si>
  <si>
    <t>Toby Alderweireld - 9</t>
  </si>
  <si>
    <t>Vincent Kompany - 18</t>
  </si>
  <si>
    <t>Ireland legends</t>
  </si>
  <si>
    <t>Robbie Keane - 126</t>
  </si>
  <si>
    <t>Ian Harte - 28</t>
  </si>
  <si>
    <t>Niall Quinn -59</t>
  </si>
  <si>
    <t>Roy Keane - 39</t>
  </si>
  <si>
    <t>Seamus Coleman - 22</t>
  </si>
  <si>
    <t>Stephen Ireland - 19</t>
  </si>
  <si>
    <t>Rory Delap - 23</t>
  </si>
  <si>
    <t>Damien Duff - 54</t>
  </si>
  <si>
    <t>Shane Long - 56</t>
  </si>
  <si>
    <t>Denis Irwin - 18</t>
  </si>
  <si>
    <t>Kevin Kilbane - 15</t>
  </si>
  <si>
    <t>Welsh Legends</t>
  </si>
  <si>
    <t>Ian Rush - 48</t>
  </si>
  <si>
    <t>Gareth Bale - 53</t>
  </si>
  <si>
    <t>John Hartson - 55</t>
  </si>
  <si>
    <t>Craig Bellamy - 81</t>
  </si>
  <si>
    <t>Vinnie Jones - 13</t>
  </si>
  <si>
    <t>Aaron Ramsey - 40</t>
  </si>
  <si>
    <t>Mark Hughes - 64</t>
  </si>
  <si>
    <t>Robbie Savage - 20</t>
  </si>
  <si>
    <t>Simon Davies - 27</t>
  </si>
  <si>
    <t>Gary Speed - 80</t>
  </si>
  <si>
    <t>Joe Allen - 16</t>
  </si>
  <si>
    <t xml:space="preserve">Competition </t>
  </si>
  <si>
    <t>FA cup</t>
  </si>
  <si>
    <t>Salomon Kalou - 36</t>
  </si>
  <si>
    <t>Sadio Mane - 111</t>
  </si>
  <si>
    <t>Shola Ameobi - 43</t>
  </si>
  <si>
    <t>El Hadj Diouf - 28</t>
  </si>
  <si>
    <t>Demba Ba - 43</t>
  </si>
  <si>
    <t>Emmanuel Adebayour - 97</t>
  </si>
  <si>
    <t>Yakubu - 95</t>
  </si>
  <si>
    <t>Brighton &amp; Hove Albion - 0</t>
  </si>
  <si>
    <t>Trophies</t>
  </si>
  <si>
    <t>FA Cups</t>
  </si>
  <si>
    <t>Crystal Palace - 1</t>
  </si>
  <si>
    <t>Manchester United - 13</t>
  </si>
  <si>
    <t>Newcastle United - 6</t>
  </si>
  <si>
    <t>Everton - 5</t>
  </si>
  <si>
    <t>Manchester City - 7</t>
  </si>
  <si>
    <t>Leicester City - 1</t>
  </si>
  <si>
    <t>Tottenham Hotspur - 8</t>
  </si>
  <si>
    <t>Blackburn Rovers - 6</t>
  </si>
  <si>
    <t>West Ham United - 3</t>
  </si>
  <si>
    <t>Sheffield Wednesday - 3</t>
  </si>
  <si>
    <t>Champions League</t>
  </si>
  <si>
    <t>Real Madrid - 15</t>
  </si>
  <si>
    <t>Inter Milan - 3</t>
  </si>
  <si>
    <t>Juventus - 2</t>
  </si>
  <si>
    <t>Borussia Dortmund - 1</t>
  </si>
  <si>
    <t>Atletico Madrid - 0</t>
  </si>
  <si>
    <t>Chelsea - 2</t>
  </si>
  <si>
    <t>Paris Saint Germain - 1</t>
  </si>
  <si>
    <t>Liverpool - 6</t>
  </si>
  <si>
    <t>AC Milan - 7</t>
  </si>
  <si>
    <t>World Cup</t>
  </si>
  <si>
    <t>World Cup Finals</t>
  </si>
  <si>
    <t>Italy - 6</t>
  </si>
  <si>
    <t>England - 1</t>
  </si>
  <si>
    <t>Portugal - 0</t>
  </si>
  <si>
    <t>Argentina - 6</t>
  </si>
  <si>
    <t>Czechoslovakia -2</t>
  </si>
  <si>
    <t>Spain - 1</t>
  </si>
  <si>
    <t>Germany - 8</t>
  </si>
  <si>
    <t>Brazil - 7</t>
  </si>
  <si>
    <t>Netherlands - 3</t>
  </si>
  <si>
    <t>France - 4</t>
  </si>
  <si>
    <t>Uruguay - 2</t>
  </si>
  <si>
    <t>Assists</t>
  </si>
  <si>
    <t>UK</t>
  </si>
  <si>
    <t>Foreign</t>
  </si>
  <si>
    <t>Ryan Giggs - 162</t>
  </si>
  <si>
    <t>Theo Walcott - 56</t>
  </si>
  <si>
    <t>Wayne Rooney - 103</t>
  </si>
  <si>
    <t>Steve McManaman - 59</t>
  </si>
  <si>
    <t>Steven Gerrard - 92</t>
  </si>
  <si>
    <t>Frank Lampard - 102</t>
  </si>
  <si>
    <t>David Beckham - 80</t>
  </si>
  <si>
    <t>Peter Crouch - 57</t>
  </si>
  <si>
    <t>Harry Kane - 46</t>
  </si>
  <si>
    <t>Joe Cole - 36</t>
  </si>
  <si>
    <t>Thierry Henry - 74</t>
  </si>
  <si>
    <t>Robin van Persie - 54</t>
  </si>
  <si>
    <t>Cristiano Ronaldo - 37</t>
  </si>
  <si>
    <t>David Silva - 93</t>
  </si>
  <si>
    <t>Dennis Bergkamp - 94</t>
  </si>
  <si>
    <t>Riyad Mahrez - 61</t>
  </si>
  <si>
    <t>Mesut Ozil - 54</t>
  </si>
  <si>
    <t>Samir Nasri - 40</t>
  </si>
  <si>
    <t>Juan Mata - 54</t>
  </si>
  <si>
    <t>Nolberton Solano - 62</t>
  </si>
  <si>
    <t>Christian Eriksen - 78</t>
  </si>
  <si>
    <t>Appearances</t>
  </si>
  <si>
    <t>Gareth Barry - 653</t>
  </si>
  <si>
    <t>Mark Noble - 412</t>
  </si>
  <si>
    <t>Ryan Giggs - 632</t>
  </si>
  <si>
    <t>James Beattie - 331</t>
  </si>
  <si>
    <t>Frank Lampard - 609</t>
  </si>
  <si>
    <t>Peter Crouch - 468</t>
  </si>
  <si>
    <t>David James - 572</t>
  </si>
  <si>
    <t>Scott Parker - 368</t>
  </si>
  <si>
    <t>Gary Speed - 535</t>
  </si>
  <si>
    <t>Wayne Rooney - 491</t>
  </si>
  <si>
    <t>Paul Scholes - 499</t>
  </si>
  <si>
    <t>John Arne Riise - 321</t>
  </si>
  <si>
    <t>Cesc Fabregas - 350</t>
  </si>
  <si>
    <t>Tim Howard - 399</t>
  </si>
  <si>
    <t>Petr Cech - 443</t>
  </si>
  <si>
    <t>Sylvain Distin - 469</t>
  </si>
  <si>
    <t>Mark Schwarzer - 514</t>
  </si>
  <si>
    <t>Pablo Zabaleta - 303</t>
  </si>
  <si>
    <t>Peter Schmeichel - 310</t>
  </si>
  <si>
    <t>Brad Friedel - 450</t>
  </si>
  <si>
    <t>David De Gea - 415</t>
  </si>
  <si>
    <t>Dwight Yorke - 375</t>
  </si>
  <si>
    <t>International</t>
  </si>
  <si>
    <t>Sergia Aguero - 101</t>
  </si>
  <si>
    <t>Brian Laudrup - 82</t>
  </si>
  <si>
    <t>George Best - 37</t>
  </si>
  <si>
    <t>Eusebio - 41</t>
  </si>
  <si>
    <t>Ruud van Nistlerooy - 35</t>
  </si>
  <si>
    <t>Xavi - 12</t>
  </si>
  <si>
    <t>Zinedine Zidane - 30</t>
  </si>
  <si>
    <t>Diego Maradona - 34</t>
  </si>
  <si>
    <t>Alan Shearer - 30</t>
  </si>
  <si>
    <t>Robbie Keane - 68</t>
  </si>
  <si>
    <t xml:space="preserve">Golden boot </t>
  </si>
  <si>
    <t>Capacity</t>
  </si>
  <si>
    <t>Stadium capacity</t>
  </si>
  <si>
    <t>Real Madrid - Bernabeu - 83,186</t>
  </si>
  <si>
    <t>Benfica - Estadio da Luz - 50,033</t>
  </si>
  <si>
    <t>Young Boys - Wankdorf - 31,783</t>
  </si>
  <si>
    <t>Roma/Lazio 0 Stadio Olimpico - 70,634</t>
  </si>
  <si>
    <t>WC26 Host countries</t>
  </si>
  <si>
    <t>Brazil</t>
  </si>
  <si>
    <t>Argentina</t>
  </si>
  <si>
    <t>Germany</t>
  </si>
  <si>
    <t>Belgium</t>
  </si>
  <si>
    <t>Croatia</t>
  </si>
  <si>
    <t>Czechia</t>
  </si>
  <si>
    <t>Scotland</t>
  </si>
  <si>
    <t>Netherlands</t>
  </si>
  <si>
    <t>Sweden</t>
  </si>
  <si>
    <t>Spain</t>
  </si>
  <si>
    <t>Uruguay</t>
  </si>
  <si>
    <t>France</t>
  </si>
  <si>
    <t>Senegal</t>
  </si>
  <si>
    <t xml:space="preserve">Portugal </t>
  </si>
  <si>
    <t xml:space="preserve">Colombia </t>
  </si>
  <si>
    <t>England</t>
  </si>
  <si>
    <t>Ivory Coast</t>
  </si>
  <si>
    <t>UCL</t>
  </si>
  <si>
    <t>Cristiano Ronaldo - 140</t>
  </si>
  <si>
    <t>Thierry Henry - 50</t>
  </si>
  <si>
    <t>Alessandro Del Piero - 42</t>
  </si>
  <si>
    <t>Eden Hazard - 10</t>
  </si>
  <si>
    <t>Luis Suarex - 27</t>
  </si>
  <si>
    <t>Michael Owen - 11</t>
  </si>
  <si>
    <t>Robin van Persie - 25</t>
  </si>
  <si>
    <t>Zlatan Ibrahimović - 124</t>
  </si>
  <si>
    <t>Frank Lampard - 105</t>
  </si>
  <si>
    <t>David Beckham - 98</t>
  </si>
  <si>
    <t>Rio Ferdinand - 85</t>
  </si>
  <si>
    <t>Deco - 89</t>
  </si>
  <si>
    <t>Claude Makelele - 78</t>
  </si>
  <si>
    <t>Ronaldo - 40</t>
  </si>
  <si>
    <t>Ronaldinho - 47</t>
  </si>
  <si>
    <t>Zinedine Zidane - 80</t>
  </si>
  <si>
    <t>Francesco Totti - 57</t>
  </si>
  <si>
    <t>Dimitar Berbatov - 33</t>
  </si>
  <si>
    <t>Carlos Tevez - 73</t>
  </si>
  <si>
    <t>Edison Cavani - 35</t>
  </si>
  <si>
    <t>Petr Cech - 124</t>
  </si>
  <si>
    <t>Pavel Nedved - 91</t>
  </si>
  <si>
    <t>Diego Godín - 161</t>
  </si>
  <si>
    <t>Gustavo Poyet - 26</t>
  </si>
  <si>
    <t>Sebastian Coates - 51</t>
  </si>
  <si>
    <t>Jonas Olsson - 25</t>
  </si>
  <si>
    <t>Marcus Allback - 74</t>
  </si>
  <si>
    <t>Divock Origi - 32</t>
  </si>
  <si>
    <t>Kevin Mirallas - 60</t>
  </si>
  <si>
    <t>Edouard Mendy - 36</t>
  </si>
  <si>
    <t>Barcelona - 5</t>
  </si>
  <si>
    <t>Juan Pablo Angel - 33</t>
  </si>
  <si>
    <t>Dejan Lovren - 78</t>
  </si>
  <si>
    <t>Julio Cesar - 87</t>
  </si>
  <si>
    <t>Adriano - 48</t>
  </si>
  <si>
    <t>Sergio Aguero - 101</t>
  </si>
  <si>
    <t>Hernan Crespo - 64</t>
  </si>
  <si>
    <t>Diego Simeone - 106</t>
  </si>
  <si>
    <t>Angel Di Maria - 140</t>
  </si>
  <si>
    <t>James McFadden - 48</t>
  </si>
  <si>
    <t>Ally McCoist - 61</t>
  </si>
  <si>
    <t>Gary McAllister -57</t>
  </si>
  <si>
    <t>Kenny Miller - 69</t>
  </si>
  <si>
    <t>Cristiano Ronaldo – 226</t>
  </si>
  <si>
    <t>Luis Suárez – 132</t>
  </si>
  <si>
    <t>Ashley Cole – 107</t>
  </si>
  <si>
    <t>Laurent Blanc – 97</t>
  </si>
  <si>
    <t>Luka Modrić – 176</t>
  </si>
  <si>
    <t>Xavi – 133</t>
  </si>
  <si>
    <t>Gianluigi Buffon – 176</t>
  </si>
  <si>
    <t>Robert Lewandowski – 153</t>
  </si>
  <si>
    <t>Fabio Cannavaro – 136</t>
  </si>
  <si>
    <t>Kevin Kilbane – 110</t>
  </si>
  <si>
    <t>Gareth Bale – 111</t>
  </si>
  <si>
    <t>Lionel Messi – 198</t>
  </si>
  <si>
    <t>Javier Mascherano – 147</t>
  </si>
  <si>
    <t>Hakan Şükür – 112</t>
  </si>
  <si>
    <t>Pavel Nedvěd – 91</t>
  </si>
  <si>
    <t>Sergio Ramos – 180</t>
  </si>
  <si>
    <t>Leonardo Bonucci – 121</t>
  </si>
  <si>
    <t>Bobby Charlton – 106</t>
  </si>
  <si>
    <t>Nani – 112</t>
  </si>
  <si>
    <t>Thierry Henry – 123</t>
  </si>
  <si>
    <t>Wesley Sneijder – 134</t>
  </si>
  <si>
    <t>Paolo Maldini – 126</t>
  </si>
  <si>
    <t>Iker Casillas – 167</t>
  </si>
  <si>
    <t>Andrés Iniesta – 131</t>
  </si>
  <si>
    <t>Lothar Matthäus – 150</t>
  </si>
  <si>
    <t>Igor Akinfeev – 111</t>
  </si>
  <si>
    <t>Henrik Larsson – 106</t>
  </si>
  <si>
    <t>Xabi Alonso – 114</t>
  </si>
  <si>
    <t>Miroslav Klose – 137</t>
  </si>
  <si>
    <t>Lilian Thuram – 142</t>
  </si>
  <si>
    <t>Atiba Hutchinson (Canada) – 104</t>
  </si>
  <si>
    <t>Rafael Márquez (Mexico)– 147</t>
  </si>
  <si>
    <t>Paul Stalteri (Canada) – 84</t>
  </si>
  <si>
    <t>Landon Donovan (USA)– 157</t>
  </si>
  <si>
    <t>Tomasz Radzinski (Canada) – 46</t>
  </si>
  <si>
    <t>Guillermo Ochoa (Mexico)– 150</t>
  </si>
  <si>
    <t>Andres Guardado (Mexico)– 179</t>
  </si>
  <si>
    <t>Javier Hernández (Mexico) – 109</t>
  </si>
  <si>
    <t>Luis Hernandez (Mexico)– 85</t>
  </si>
  <si>
    <t>Clint Dempsey (USA)– 141</t>
  </si>
  <si>
    <t>Michael Bradley (USA) – 151</t>
  </si>
  <si>
    <t>Vladimir Smicer - 81</t>
  </si>
  <si>
    <t>Patrik Berger - 44</t>
  </si>
  <si>
    <t>Antonin Panenka - 59</t>
  </si>
  <si>
    <t>Karel Poborsky - 118</t>
  </si>
  <si>
    <t>Jan Koller - 91</t>
  </si>
  <si>
    <t>Vladimir Darida - 76</t>
  </si>
  <si>
    <t>Tomas Rosicky - 105</t>
  </si>
  <si>
    <t>Jaroslav Plasil - 103</t>
  </si>
  <si>
    <t>Milan Baros - 93</t>
  </si>
  <si>
    <t>Zico – 71</t>
  </si>
  <si>
    <t>Roberto Carlos – 125</t>
  </si>
  <si>
    <t>Cafu – 142</t>
  </si>
  <si>
    <t>Kaka – 92</t>
  </si>
  <si>
    <t>Rivaldo – 74</t>
  </si>
  <si>
    <t>Ronaldinho – 97</t>
  </si>
  <si>
    <t>Romário – 70</t>
  </si>
  <si>
    <t>Ronaldo – 98</t>
  </si>
  <si>
    <t>Pele – 92</t>
  </si>
  <si>
    <t>Kenny Dalglish – 102</t>
  </si>
  <si>
    <t>Darren Fletcher – 80</t>
  </si>
  <si>
    <t>Paul Lambert – 40</t>
  </si>
  <si>
    <t>Graeme Souness – 54</t>
  </si>
  <si>
    <t>Archie Gemmill – 43</t>
  </si>
  <si>
    <t>Denis Law – 55</t>
  </si>
  <si>
    <t>Gordon Strachan – 50</t>
  </si>
  <si>
    <t/>
  </si>
  <si>
    <t>Max Gradel – 97</t>
  </si>
  <si>
    <t>Cheick Tiote – 52</t>
  </si>
  <si>
    <t>Didier Zokora – 123</t>
  </si>
  <si>
    <t>Aruna Dindane – 62</t>
  </si>
  <si>
    <t>Kolo Toure – 120</t>
  </si>
  <si>
    <t>Yaya Toure – 102</t>
  </si>
  <si>
    <t>Emmanuel Eboue – 79</t>
  </si>
  <si>
    <t>Wilfried Bony – 52</t>
  </si>
  <si>
    <t>Gervinho – 88</t>
  </si>
  <si>
    <t>Salomon Kalou – 97</t>
  </si>
  <si>
    <t>Didier Drogba – 105</t>
  </si>
  <si>
    <t>Martin Dahlin – 60</t>
  </si>
  <si>
    <t>Anders Svensson – 148</t>
  </si>
  <si>
    <t>Jesper Blomqvist - 30</t>
  </si>
  <si>
    <t>Zlatan Ibrahimović – 122</t>
  </si>
  <si>
    <t>Patrik Andersson – 96</t>
  </si>
  <si>
    <t>Olof Mellberg – 117</t>
  </si>
  <si>
    <t>Sebastian Larsson – 133</t>
  </si>
  <si>
    <t>Freddie Ljungberg – 75</t>
  </si>
  <si>
    <t>Vincent Kompany – 89</t>
  </si>
  <si>
    <t>Dries Mertens – 109</t>
  </si>
  <si>
    <t>Eden Hazard – 126</t>
  </si>
  <si>
    <t>Jan Vertonghen – 154</t>
  </si>
  <si>
    <t>Romelu Lukaku – 114</t>
  </si>
  <si>
    <t>Axel Witsel – 130</t>
  </si>
  <si>
    <t>Toby Alderweireld – 127</t>
  </si>
  <si>
    <t>Marouane Fellaini – 87</t>
  </si>
  <si>
    <t>Mousa Dembélé – 82</t>
  </si>
  <si>
    <t>Fernando Muslera - 139</t>
  </si>
  <si>
    <t>Maxi Pereira - 125</t>
  </si>
  <si>
    <t>Diego Forlan - 112</t>
  </si>
  <si>
    <t>Luis Suarez - 143</t>
  </si>
  <si>
    <t>Cristian Rodriguez - 116</t>
  </si>
  <si>
    <t>Enzo Francescoli - 73</t>
  </si>
  <si>
    <t>Edinson Cavani - 136</t>
  </si>
  <si>
    <t>Diego Lugano - 95</t>
  </si>
  <si>
    <t>Cheikhou Kouyaté – 86</t>
  </si>
  <si>
    <t>Sadio Mané – 105</t>
  </si>
  <si>
    <t>El Hadji Diouf – 69</t>
  </si>
  <si>
    <t>Papa Bouba Diop – 63</t>
  </si>
  <si>
    <t>Kalidou Koulibaly – 83</t>
  </si>
  <si>
    <t>Idrissa Gana Gueye – 104</t>
  </si>
  <si>
    <t>Moussa Sow – 50</t>
  </si>
  <si>
    <t>Mame Biram Diouf – 47</t>
  </si>
  <si>
    <t>Salif Diao – 39</t>
  </si>
  <si>
    <t>Demba Ba – 22</t>
  </si>
  <si>
    <t>Pablo Aimar – 52</t>
  </si>
  <si>
    <t>Diego Maradona – 91</t>
  </si>
  <si>
    <t>Juan Sebastián Verón – 73</t>
  </si>
  <si>
    <t>Walter Samuel – 56</t>
  </si>
  <si>
    <t>Carlos Tevez – 76</t>
  </si>
  <si>
    <t>Gabriel Batistuta – 78</t>
  </si>
  <si>
    <t>Abel Aguilar – 71</t>
  </si>
  <si>
    <t>Faustino Asprilla – 57</t>
  </si>
  <si>
    <t>Jackson Martínez – 40</t>
  </si>
  <si>
    <t>Freddy Rincón – 84</t>
  </si>
  <si>
    <t>David Ospina – 127</t>
  </si>
  <si>
    <t>Juan Cuadrado – 116</t>
  </si>
  <si>
    <t>Carlos Valderrama – 111</t>
  </si>
  <si>
    <t>Mario Yepes – 102</t>
  </si>
  <si>
    <t>James Rodríguez – 101</t>
  </si>
  <si>
    <t>Radamel Falcao – 104</t>
  </si>
  <si>
    <t>Stipe Pletikosa – 114</t>
  </si>
  <si>
    <t>Darijo Srna – 134</t>
  </si>
  <si>
    <t>Xavi - 151</t>
  </si>
  <si>
    <t>Sergio Busquets - 129</t>
  </si>
  <si>
    <t>Roberto Carlos - 120</t>
  </si>
  <si>
    <t>Karim Benzema - 152</t>
  </si>
  <si>
    <t>Sergio Ramos - 142</t>
  </si>
  <si>
    <t>Cristiano Ronaldo - 183</t>
  </si>
  <si>
    <t>Paolo Maldini - 135</t>
  </si>
  <si>
    <t>Philipp Lahm - 112</t>
  </si>
  <si>
    <t>Paul Scholes - 124</t>
  </si>
  <si>
    <t>Clarence Seedorf - 125</t>
  </si>
  <si>
    <t>Paul Scholes - 55</t>
  </si>
  <si>
    <t>Manchester United – Old Trafford – 74,879</t>
  </si>
  <si>
    <t>Tottenham Hotspur – Tottenham Hotspur Stadium – 62,850</t>
  </si>
  <si>
    <t>Bournemouth – Vitality Stadium – 11,329</t>
  </si>
  <si>
    <t>West Ham – London Stadium – 62,500</t>
  </si>
  <si>
    <t>Leeds United – Elland Road – 37,792</t>
  </si>
  <si>
    <t>Arsenal – Emirates Stadium – 60,704</t>
  </si>
  <si>
    <t>Wolves – Molineux – 32,050</t>
  </si>
  <si>
    <t>Fulham – Craven Cottage – 25,700</t>
  </si>
  <si>
    <t>Aston Villa – Villa Park – 42,749</t>
  </si>
  <si>
    <t>Manchester City – Etihad Stadium – 55,017</t>
  </si>
  <si>
    <t>Liverpool – Anfield – 53,394</t>
  </si>
  <si>
    <t>Barcelona – Camp Nou – 99,354</t>
  </si>
  <si>
    <t>Rangers – Ibrox Stadium – 50,817</t>
  </si>
  <si>
    <t>AC Milan / Inter – San Siro – 80,018</t>
  </si>
  <si>
    <t>England - Wembley - 90,000</t>
  </si>
  <si>
    <t>Besiktas– Vodafone Park – 42,590</t>
  </si>
  <si>
    <t>Chelsea – Stamford Bridge – 40,341</t>
  </si>
  <si>
    <t>Juventus – Allianz Stadium – 41,507</t>
  </si>
  <si>
    <t>Emre Can - 10</t>
  </si>
  <si>
    <t>Michael Ballack -17</t>
  </si>
  <si>
    <t>Rodri - 22</t>
  </si>
  <si>
    <t>Pierre-Emerick Aubameyang - 69</t>
  </si>
  <si>
    <t>Kelechi Iheanacho - 42</t>
  </si>
  <si>
    <t>Didier Drogba - 104</t>
  </si>
  <si>
    <t>Nwankwo Kanu - 54</t>
  </si>
  <si>
    <t>Dries Mertens – 21</t>
  </si>
  <si>
    <t>Miroslav Klose – 71</t>
  </si>
  <si>
    <t>Eden Hazard – 33</t>
  </si>
  <si>
    <t>Robin van Persie – 50</t>
  </si>
  <si>
    <t>Patrick Kluivert – 40</t>
  </si>
  <si>
    <t>Karim Benzema – 37</t>
  </si>
  <si>
    <t>Luis Suárez – 68</t>
  </si>
  <si>
    <t>Gary Lineker – 48</t>
  </si>
  <si>
    <t>Michael Owen – 40</t>
  </si>
  <si>
    <t>Fernando Torres – 38</t>
  </si>
  <si>
    <t>Neymar – 79</t>
  </si>
  <si>
    <t>Henrik Larsson – 37</t>
  </si>
  <si>
    <t>Robert Lewandowski – 82</t>
  </si>
  <si>
    <t>Arjen Robben – 37</t>
  </si>
  <si>
    <t>Gerd Müller – 68</t>
  </si>
  <si>
    <t>David Villa – 59</t>
  </si>
  <si>
    <t>Edinson Cavani – 58</t>
  </si>
  <si>
    <t>Diego Forlan - 36</t>
  </si>
  <si>
    <t>Gabriel Batistuta – 56</t>
  </si>
  <si>
    <t>Romelu Lukaku – 85</t>
  </si>
  <si>
    <t>Raul – 44</t>
  </si>
  <si>
    <t>Nani – 24</t>
  </si>
  <si>
    <t>Pelé – 77</t>
  </si>
  <si>
    <t>Zlatan Ibrahimović – 62</t>
  </si>
  <si>
    <t>Olivier Giroud – 57</t>
  </si>
  <si>
    <t>Thierry Henry – 51</t>
  </si>
  <si>
    <t>Robin van Persie – 2011/12 – 30</t>
  </si>
  <si>
    <t>Robin van Persie – 2012/13 – 26</t>
  </si>
  <si>
    <t>Luis Suárez – 2013/14 – 31</t>
  </si>
  <si>
    <t>Sergio Agüero – 2014/15 – 26</t>
  </si>
  <si>
    <t>Harry Kane – 2015/16 – 25</t>
  </si>
  <si>
    <t>Harry Kane – 2016/17 – 29</t>
  </si>
  <si>
    <t>Mohamed Salah – 2017/18 – 32</t>
  </si>
  <si>
    <t>Jamie Vardy – 2019/20 – 23</t>
  </si>
  <si>
    <t>Erling Haaland – 2022/23 – 36</t>
  </si>
  <si>
    <t>Erling Haaland – 2023/24 – 27</t>
  </si>
  <si>
    <t>Mohamed Salah – 2024/25 – 29</t>
  </si>
  <si>
    <t>Kevin Phillips – 1999/00 – 30</t>
  </si>
  <si>
    <t>Jimmy Floyd Hasselbaink – 2000/01 – 23</t>
  </si>
  <si>
    <t>Thierry Henry – 2001/02 – 24</t>
  </si>
  <si>
    <t>Ruud van Nistelrooy – 2002/03 – 25</t>
  </si>
  <si>
    <t>Thierry Henry – 2003/04 – 30</t>
  </si>
  <si>
    <t>Thierry Henry – 2004/05 – 25</t>
  </si>
  <si>
    <t>Thierry Henry – 2005/06 – 27</t>
  </si>
  <si>
    <t>Didier Drogba – 2006/07 – 20</t>
  </si>
  <si>
    <t>Cristiano Ronaldo – 2007/08 – 31</t>
  </si>
  <si>
    <t>Nicolas Anelka – 2008/09 – 19</t>
  </si>
  <si>
    <t>Didier Drogba – 2009/10 – 29</t>
  </si>
  <si>
    <t>Lionel Messi - 129</t>
  </si>
  <si>
    <t>Neymar - 43</t>
  </si>
  <si>
    <t>Karim Benzema - 90</t>
  </si>
  <si>
    <t>Steven Gerrard - 21</t>
  </si>
  <si>
    <t>Ruud van Nistelrooy - 56</t>
  </si>
  <si>
    <t>Wayne Rooney - 30</t>
  </si>
  <si>
    <t>Fernando Torres - 20</t>
  </si>
  <si>
    <t>Roberto Carlos - 14</t>
  </si>
  <si>
    <t>Andriy Shevchenko - 48</t>
  </si>
  <si>
    <t>Sergio Agüero - 41</t>
  </si>
  <si>
    <t>Raúl - 71</t>
  </si>
  <si>
    <t>Didier Drogba - 44</t>
  </si>
  <si>
    <t>Arjen Robben - 31</t>
  </si>
  <si>
    <t>Samuel Eto'o - 30</t>
  </si>
  <si>
    <t>Ajax -4</t>
  </si>
  <si>
    <t>Jaap Stam -67</t>
  </si>
  <si>
    <t>Mesut Ozil - 92</t>
  </si>
  <si>
    <t>Mats Hummels - 78</t>
  </si>
  <si>
    <t>Andre Schurrle - 57</t>
  </si>
  <si>
    <t>Dennis Bergkamp – 79</t>
  </si>
  <si>
    <t>Johan Cruyff – 48</t>
  </si>
  <si>
    <t>Edwin van der Sar – 130</t>
  </si>
  <si>
    <t>Ruud Gullit – 66</t>
  </si>
  <si>
    <t>Marco van Basten – 58</t>
  </si>
  <si>
    <t>Arjen Robben – 96</t>
  </si>
  <si>
    <t>Edgar Davids – 74</t>
  </si>
  <si>
    <t>Ruud van Nistelrooy – 70</t>
  </si>
  <si>
    <t>Boudewijn Zenden – 54</t>
  </si>
  <si>
    <t>Gerd Muller – 62</t>
  </si>
  <si>
    <t>Lothar Matthaus – 150</t>
  </si>
  <si>
    <t>Michael Ballack – 98</t>
  </si>
  <si>
    <t>Rudi Voller – 90</t>
  </si>
  <si>
    <t>Mario Gotze – 66</t>
  </si>
  <si>
    <t>Franz Beckenbauer – 103</t>
  </si>
  <si>
    <t>Sami Khedira - 77</t>
  </si>
  <si>
    <t>Patrick Kluivert - 79</t>
  </si>
  <si>
    <t>Luka ModriC – 166</t>
  </si>
  <si>
    <t>Milan Rapaic – 49</t>
  </si>
  <si>
    <t>Ivan Perisic – 129</t>
  </si>
  <si>
    <t>Mario Mandzukic – 89</t>
  </si>
  <si>
    <t>Vedran Corluka – 103</t>
  </si>
  <si>
    <t>Ivan Rakitic – 106</t>
  </si>
  <si>
    <t>Davor Suker – 69</t>
  </si>
  <si>
    <t>Alen Boksic – 40</t>
  </si>
  <si>
    <t>Finals</t>
  </si>
  <si>
    <t>FA Cup</t>
  </si>
  <si>
    <t>Manchester United</t>
  </si>
  <si>
    <t>All time</t>
  </si>
  <si>
    <t>Liverpool</t>
  </si>
  <si>
    <t>Arsenal</t>
  </si>
  <si>
    <t>Chelsea</t>
  </si>
  <si>
    <t>Real Madrid</t>
  </si>
  <si>
    <t>Bayern Munich</t>
  </si>
  <si>
    <t>PSG</t>
  </si>
  <si>
    <t>Manchester City</t>
  </si>
  <si>
    <t>Tottenham Hotspur</t>
  </si>
  <si>
    <t>Womens international</t>
  </si>
  <si>
    <t xml:space="preserve">Thierry Henry 229 </t>
  </si>
  <si>
    <t xml:space="preserve"> Cesc Fàbregas 57 </t>
  </si>
  <si>
    <t xml:space="preserve"> Pierre‑Emerick Aubameyang 92 </t>
  </si>
  <si>
    <t xml:space="preserve"> Freddie Ljungberg 72 </t>
  </si>
  <si>
    <t xml:space="preserve"> Alexandre Lacazette 71 </t>
  </si>
  <si>
    <t xml:space="preserve"> Aaron Ramsey 64 </t>
  </si>
  <si>
    <t xml:space="preserve"> Jack Wilshere 14</t>
  </si>
  <si>
    <t>Patrick Vieira - 32</t>
  </si>
  <si>
    <t xml:space="preserve">Mesut Ozil 44 </t>
  </si>
  <si>
    <t>David Luiz - 4</t>
  </si>
  <si>
    <t>Mikel Arteta 16</t>
  </si>
  <si>
    <t xml:space="preserve"> Christian Eriksen 69 </t>
  </si>
  <si>
    <t xml:space="preserve"> Gareth Bale 72 </t>
  </si>
  <si>
    <t xml:space="preserve"> Dimitar Berbatov 46 </t>
  </si>
  <si>
    <t xml:space="preserve"> Érik Lamela 37 </t>
  </si>
  <si>
    <t xml:space="preserve"> Luka Modric 17</t>
  </si>
  <si>
    <t>Son Heung-min - 173</t>
  </si>
  <si>
    <t>Teddy Sheringham - 125</t>
  </si>
  <si>
    <t>Gary Lineker 80</t>
  </si>
  <si>
    <t>Peter Crouch - 24</t>
  </si>
  <si>
    <t>Jermaine Jenas 26</t>
  </si>
  <si>
    <t>Dele Alli 67</t>
  </si>
  <si>
    <t xml:space="preserve">Michael Carrick 464 </t>
  </si>
  <si>
    <t xml:space="preserve"> Patrice Evra 379 </t>
  </si>
  <si>
    <t xml:space="preserve"> Antonio Valencia 339 </t>
  </si>
  <si>
    <t xml:space="preserve"> Darren Fletcher 342 </t>
  </si>
  <si>
    <t xml:space="preserve"> Wes Brown 362 </t>
  </si>
  <si>
    <t xml:space="preserve"> Park Ji‑sung 205 </t>
  </si>
  <si>
    <t xml:space="preserve"> Ander Herrera 189 </t>
  </si>
  <si>
    <t xml:space="preserve"> Dwight Yorke 152 </t>
  </si>
  <si>
    <t xml:space="preserve"> Bastian Schweinsteiger 35 </t>
  </si>
  <si>
    <t xml:space="preserve"> Radamel Falcao 29</t>
  </si>
  <si>
    <t>Edison Cavani - 59</t>
  </si>
  <si>
    <t>Athletico Madrid</t>
  </si>
  <si>
    <t>Leeds</t>
  </si>
  <si>
    <t>Southampton</t>
  </si>
  <si>
    <t xml:space="preserve">Jordan Henderson 492 </t>
  </si>
  <si>
    <t xml:space="preserve"> Roberto Firmino 362 </t>
  </si>
  <si>
    <t xml:space="preserve"> Sadio Mané 269 </t>
  </si>
  <si>
    <t xml:space="preserve"> Xabi Alonso 210 </t>
  </si>
  <si>
    <t xml:space="preserve"> Luis Suárez 133 </t>
  </si>
  <si>
    <t xml:space="preserve"> Philippe Coutinho 201 </t>
  </si>
  <si>
    <t xml:space="preserve"> Fernando Torres 142 </t>
  </si>
  <si>
    <t xml:space="preserve"> Thiago Alcântara 98 </t>
  </si>
  <si>
    <t xml:space="preserve"> Takumi Minamino 55 </t>
  </si>
  <si>
    <t xml:space="preserve"> Mario Balotelli 28 </t>
  </si>
  <si>
    <t>Kostas Tsimikas - 66</t>
  </si>
  <si>
    <t xml:space="preserve">Laurent Koscielny 353 </t>
  </si>
  <si>
    <t xml:space="preserve"> Bacary Sagna 284 </t>
  </si>
  <si>
    <t xml:space="preserve"> Alexis Sánchez 166 </t>
  </si>
  <si>
    <t xml:space="preserve"> Gaël Clichy 264 </t>
  </si>
  <si>
    <t xml:space="preserve"> Samir Nasri 125 </t>
  </si>
  <si>
    <t xml:space="preserve"> Kieran Gibbs 230 </t>
  </si>
  <si>
    <t xml:space="preserve"> Danny Welbeck 126 </t>
  </si>
  <si>
    <t xml:space="preserve"> Alex Iwobi 149 </t>
  </si>
  <si>
    <t xml:space="preserve"> Lukas Podolski 82 </t>
  </si>
  <si>
    <t xml:space="preserve"> Gervinho 63 </t>
  </si>
  <si>
    <t xml:space="preserve"> Yossi Benayoun 25</t>
  </si>
  <si>
    <t xml:space="preserve">César Azpilicueta 508 </t>
  </si>
  <si>
    <t xml:space="preserve"> Willian 339 </t>
  </si>
  <si>
    <t xml:space="preserve"> Oscar 203 </t>
  </si>
  <si>
    <t xml:space="preserve"> Branislav Ivanović 377 </t>
  </si>
  <si>
    <t xml:space="preserve"> Juan Mata 135 </t>
  </si>
  <si>
    <t xml:space="preserve"> Marcos Alonso 212 </t>
  </si>
  <si>
    <t xml:space="preserve"> Nicolas Anelka 184 </t>
  </si>
  <si>
    <t xml:space="preserve"> André Schürrle 65 </t>
  </si>
  <si>
    <t xml:space="preserve"> Demba Ba 51 </t>
  </si>
  <si>
    <t xml:space="preserve"> Kevin De Bruyne 9 </t>
  </si>
  <si>
    <t xml:space="preserve"> Mo Salah 19</t>
  </si>
  <si>
    <t xml:space="preserve">Joe Hart 348 </t>
  </si>
  <si>
    <t xml:space="preserve"> Pablo Zabaleta 333 </t>
  </si>
  <si>
    <t xml:space="preserve"> Edin Džeko 189 </t>
  </si>
  <si>
    <t xml:space="preserve"> Micah Richards 245 </t>
  </si>
  <si>
    <t xml:space="preserve"> Samir Nasri 176 </t>
  </si>
  <si>
    <t xml:space="preserve"> Gaël Clichy 203 </t>
  </si>
  <si>
    <t xml:space="preserve"> Mario Balotelli 80 </t>
  </si>
  <si>
    <t xml:space="preserve"> Jack Rodwell 52 </t>
  </si>
  <si>
    <t xml:space="preserve"> Frank Lampard 38 </t>
  </si>
  <si>
    <t>James Milner  - 203</t>
  </si>
  <si>
    <t>Jesus Navas - 123</t>
  </si>
  <si>
    <t xml:space="preserve">Matt Le Tissier 540 </t>
  </si>
  <si>
    <t xml:space="preserve"> James Ward‑Prowse 410 </t>
  </si>
  <si>
    <t xml:space="preserve"> Adam Lallana 265 </t>
  </si>
  <si>
    <t xml:space="preserve"> Virgil van Dijk 80 </t>
  </si>
  <si>
    <t xml:space="preserve"> Steven Davis 226 </t>
  </si>
  <si>
    <t xml:space="preserve"> Sadio Mané 75 </t>
  </si>
  <si>
    <t xml:space="preserve"> José Fonte 288 </t>
  </si>
  <si>
    <t xml:space="preserve"> Dušan Tadić 162 </t>
  </si>
  <si>
    <t xml:space="preserve"> Graziano Pellè 81 </t>
  </si>
  <si>
    <t xml:space="preserve"> Nathaniel Clyne 94 </t>
  </si>
  <si>
    <t xml:space="preserve"> Dejan Lovren 72</t>
  </si>
  <si>
    <t xml:space="preserve"> Ian Harte 288 </t>
  </si>
  <si>
    <t xml:space="preserve"> Mark Viduka 166 </t>
  </si>
  <si>
    <t xml:space="preserve"> Lee Bowyer 265 </t>
  </si>
  <si>
    <t xml:space="preserve"> Jimmy Floyd Hasselbaink 87 </t>
  </si>
  <si>
    <t xml:space="preserve"> Harry Kewell 242 </t>
  </si>
  <si>
    <t xml:space="preserve"> Rio Ferdinand 73 </t>
  </si>
  <si>
    <t xml:space="preserve"> Pablo Hernández 175 </t>
  </si>
  <si>
    <t xml:space="preserve"> Raphinha 65 </t>
  </si>
  <si>
    <t xml:space="preserve"> Patrick Bamford 124 </t>
  </si>
  <si>
    <t xml:space="preserve"> Olivier Dacourt 57</t>
  </si>
  <si>
    <t>Kalvin Phillips  - 234</t>
  </si>
  <si>
    <t>Aston Villa</t>
  </si>
  <si>
    <t>Date</t>
  </si>
  <si>
    <t xml:space="preserve">Gareth Barry 441 </t>
  </si>
  <si>
    <t xml:space="preserve"> Gabriel Agbonlahor 391 </t>
  </si>
  <si>
    <t xml:space="preserve"> Juan Pablo Ángel 205 </t>
  </si>
  <si>
    <t xml:space="preserve"> Christian Benteke 101 </t>
  </si>
  <si>
    <t xml:space="preserve"> Jack Grealish 213 </t>
  </si>
  <si>
    <t xml:space="preserve"> Stewart Downing 91 </t>
  </si>
  <si>
    <t xml:space="preserve"> Fabian Delph 134 </t>
  </si>
  <si>
    <t xml:space="preserve"> Stiliyan Petrov 219 </t>
  </si>
  <si>
    <t xml:space="preserve"> John Carew 131 </t>
  </si>
  <si>
    <t xml:space="preserve"> Olof Mellberg 232 </t>
  </si>
  <si>
    <t xml:space="preserve"> Jordan Ayew 58</t>
  </si>
  <si>
    <t>FInals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</si>
</sst>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0B876-E2B4-49A6-830A-971694437239}" name="Table1" displayName="Table1" ref="B2:P109" totalsRowShown="0">
  <autoFilter ref="B2:P109" xr:uid="{6900B876-E2B4-49A6-830A-971694437239}"/>
  <sortState xmlns:xlrd2="http://schemas.microsoft.com/office/spreadsheetml/2017/richdata2" ref="B3:P109">
    <sortCondition ref="B2:B109"/>
  </sortState>
  <tableColumns count="15">
    <tableColumn id="16" xr3:uid="{F1F296E0-4C57-4DCA-BBB9-62B1540F96CC}" name="Date"/>
    <tableColumn id="2" xr3:uid="{D49C3F38-668E-46B0-A8CC-D454F792532D}" name="Competition "/>
    <tableColumn id="3" xr3:uid="{0F64EECA-1A57-4C03-9186-A32DB97ED713}" name="Stat"/>
    <tableColumn id="4" xr3:uid="{CE2EC848-7314-419D-AD16-04AD48AB0CC1}" name="Theme"/>
    <tableColumn id="5" xr3:uid="{29E48203-9457-4457-BF76-2BDBEA434397}" name="Player 1"/>
    <tableColumn id="6" xr3:uid="{C4D62AF8-F564-4052-BB49-FB3CB04E63C8}" name="Player 2"/>
    <tableColumn id="7" xr3:uid="{8FA922B4-D0F6-4197-A374-593108B6C87F}" name="Player 3"/>
    <tableColumn id="8" xr3:uid="{378E3543-C95E-4CAC-ABD4-7C7F7E07FB6B}" name="Player 4"/>
    <tableColumn id="9" xr3:uid="{19BA31B9-0A27-43C5-9AF5-532975F199C4}" name="Player 5"/>
    <tableColumn id="10" xr3:uid="{3A48A267-FD1E-4FD2-9BB0-F5FA59FC5C13}" name="Player 6"/>
    <tableColumn id="11" xr3:uid="{8A6596DF-89C8-4F6B-9C37-63379E53C993}" name="Player 7"/>
    <tableColumn id="12" xr3:uid="{DC4CFDD8-2BBF-4056-88AC-0EAC7B5222C3}" name="Player 8"/>
    <tableColumn id="13" xr3:uid="{1B539A67-2C25-4471-A974-E692C4372D78}" name="Player 9"/>
    <tableColumn id="14" xr3:uid="{E1BF1861-A050-46D5-827A-A32122CABD68}" name="Player 10"/>
    <tableColumn id="15" xr3:uid="{C8DE0B7C-B13A-4897-ADDC-D0ADA6EE1A40}" name="Player 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0FEC-F30E-46F2-B39D-480DD703DE99}">
  <dimension ref="B2:T230"/>
  <sheetViews>
    <sheetView tabSelected="1" topLeftCell="A57" zoomScale="40" zoomScaleNormal="40" workbookViewId="0">
      <selection activeCell="F21" activeCellId="1" sqref="F14 F21:F24"/>
    </sheetView>
  </sheetViews>
  <sheetFormatPr defaultRowHeight="14.5" x14ac:dyDescent="0.35"/>
  <cols>
    <col min="2" max="2" width="20.26953125" bestFit="1" customWidth="1"/>
    <col min="3" max="3" width="13.7265625" bestFit="1" customWidth="1"/>
    <col min="4" max="4" width="23" bestFit="1" customWidth="1"/>
    <col min="5" max="5" width="43" bestFit="1" customWidth="1"/>
    <col min="6" max="6" width="59.36328125" bestFit="1" customWidth="1"/>
    <col min="7" max="7" width="40.81640625" bestFit="1" customWidth="1"/>
    <col min="8" max="8" width="39.36328125" bestFit="1" customWidth="1"/>
    <col min="9" max="10" width="37.90625" bestFit="1" customWidth="1"/>
    <col min="11" max="11" width="31.1796875" bestFit="1" customWidth="1"/>
    <col min="12" max="12" width="32.81640625" bestFit="1" customWidth="1"/>
    <col min="13" max="13" width="35.1796875" bestFit="1" customWidth="1"/>
    <col min="14" max="14" width="43.54296875" bestFit="1" customWidth="1"/>
    <col min="15" max="15" width="31.36328125" bestFit="1" customWidth="1"/>
    <col min="16" max="16" width="35.36328125" bestFit="1" customWidth="1"/>
  </cols>
  <sheetData>
    <row r="2" spans="2:16" x14ac:dyDescent="0.35">
      <c r="B2" t="s">
        <v>704</v>
      </c>
      <c r="C2" t="s">
        <v>157</v>
      </c>
      <c r="D2" t="s">
        <v>0</v>
      </c>
      <c r="E2" t="s">
        <v>14</v>
      </c>
      <c r="F2" t="s">
        <v>1</v>
      </c>
      <c r="G2" t="s">
        <v>2</v>
      </c>
      <c r="H2" t="s">
        <v>3</v>
      </c>
      <c r="I2" t="s">
        <v>4</v>
      </c>
      <c r="J2" t="s">
        <v>5</v>
      </c>
      <c r="K2" t="s">
        <v>6</v>
      </c>
      <c r="L2" t="s">
        <v>7</v>
      </c>
      <c r="M2" t="s">
        <v>8</v>
      </c>
      <c r="N2" t="s">
        <v>9</v>
      </c>
      <c r="O2" t="s">
        <v>10</v>
      </c>
      <c r="P2" t="s">
        <v>11</v>
      </c>
    </row>
    <row r="3" spans="2:16" x14ac:dyDescent="0.35">
      <c r="B3" s="1">
        <v>46137</v>
      </c>
      <c r="C3" t="s">
        <v>591</v>
      </c>
      <c r="D3" t="s">
        <v>226</v>
      </c>
      <c r="E3" t="s">
        <v>636</v>
      </c>
      <c r="F3" t="s">
        <v>685</v>
      </c>
      <c r="G3" t="s">
        <v>681</v>
      </c>
      <c r="H3" t="s">
        <v>691</v>
      </c>
      <c r="I3" t="s">
        <v>682</v>
      </c>
      <c r="J3" t="s">
        <v>688</v>
      </c>
      <c r="K3" t="s">
        <v>683</v>
      </c>
      <c r="L3" t="s">
        <v>687</v>
      </c>
      <c r="M3" t="s">
        <v>690</v>
      </c>
      <c r="N3" t="s">
        <v>686</v>
      </c>
      <c r="O3" t="s">
        <v>689</v>
      </c>
      <c r="P3" t="s">
        <v>684</v>
      </c>
    </row>
    <row r="4" spans="2:16" x14ac:dyDescent="0.35">
      <c r="B4" s="1">
        <v>46138</v>
      </c>
      <c r="C4" t="s">
        <v>591</v>
      </c>
      <c r="D4" t="s">
        <v>226</v>
      </c>
      <c r="E4" t="s">
        <v>635</v>
      </c>
      <c r="F4" t="s">
        <v>702</v>
      </c>
      <c r="G4" t="s">
        <v>692</v>
      </c>
      <c r="H4" t="s">
        <v>693</v>
      </c>
      <c r="I4" t="s">
        <v>694</v>
      </c>
      <c r="J4" t="s">
        <v>695</v>
      </c>
      <c r="K4" t="s">
        <v>696</v>
      </c>
      <c r="L4" t="s">
        <v>698</v>
      </c>
      <c r="M4" t="s">
        <v>697</v>
      </c>
      <c r="N4" t="s">
        <v>700</v>
      </c>
      <c r="O4" t="s">
        <v>701</v>
      </c>
      <c r="P4" t="s">
        <v>699</v>
      </c>
    </row>
    <row r="5" spans="2:16" x14ac:dyDescent="0.35">
      <c r="B5" s="1">
        <v>46139</v>
      </c>
      <c r="C5" t="s">
        <v>12</v>
      </c>
      <c r="D5" t="s">
        <v>13</v>
      </c>
      <c r="E5" t="s">
        <v>145</v>
      </c>
      <c r="F5" t="s">
        <v>149</v>
      </c>
      <c r="G5" t="s">
        <v>150</v>
      </c>
      <c r="H5" t="s">
        <v>151</v>
      </c>
      <c r="I5" t="s">
        <v>155</v>
      </c>
      <c r="J5" t="s">
        <v>153</v>
      </c>
      <c r="K5" t="s">
        <v>154</v>
      </c>
      <c r="L5" t="s">
        <v>152</v>
      </c>
      <c r="M5" t="s">
        <v>156</v>
      </c>
      <c r="N5" t="s">
        <v>148</v>
      </c>
      <c r="O5" t="s">
        <v>147</v>
      </c>
      <c r="P5" t="s">
        <v>146</v>
      </c>
    </row>
    <row r="6" spans="2:16" x14ac:dyDescent="0.35">
      <c r="B6" s="1">
        <v>46140</v>
      </c>
      <c r="C6" t="s">
        <v>591</v>
      </c>
      <c r="D6" t="s">
        <v>13</v>
      </c>
      <c r="E6" t="s">
        <v>597</v>
      </c>
    </row>
    <row r="7" spans="2:16" x14ac:dyDescent="0.35">
      <c r="B7" s="1">
        <v>46141</v>
      </c>
      <c r="C7" t="s">
        <v>591</v>
      </c>
      <c r="D7" t="s">
        <v>226</v>
      </c>
      <c r="E7" t="s">
        <v>634</v>
      </c>
    </row>
    <row r="8" spans="2:16" x14ac:dyDescent="0.35">
      <c r="B8" s="1">
        <v>46142</v>
      </c>
      <c r="C8" t="s">
        <v>12</v>
      </c>
      <c r="D8" t="s">
        <v>226</v>
      </c>
      <c r="E8" t="s">
        <v>203</v>
      </c>
      <c r="F8" t="s">
        <v>230</v>
      </c>
      <c r="G8" t="s">
        <v>228</v>
      </c>
      <c r="H8" t="s">
        <v>229</v>
      </c>
      <c r="I8" t="s">
        <v>231</v>
      </c>
      <c r="J8" t="s">
        <v>227</v>
      </c>
      <c r="K8" t="s">
        <v>233</v>
      </c>
      <c r="L8" t="s">
        <v>232</v>
      </c>
      <c r="M8" t="s">
        <v>234</v>
      </c>
      <c r="N8" t="s">
        <v>235</v>
      </c>
      <c r="O8" t="s">
        <v>237</v>
      </c>
      <c r="P8" t="s">
        <v>236</v>
      </c>
    </row>
    <row r="9" spans="2:16" x14ac:dyDescent="0.35">
      <c r="B9" s="1">
        <v>46143</v>
      </c>
      <c r="C9" t="s">
        <v>12</v>
      </c>
      <c r="D9" t="s">
        <v>261</v>
      </c>
      <c r="E9" t="s">
        <v>262</v>
      </c>
      <c r="F9" t="s">
        <v>471</v>
      </c>
      <c r="G9" t="s">
        <v>472</v>
      </c>
      <c r="H9" t="s">
        <v>473</v>
      </c>
      <c r="I9" t="s">
        <v>474</v>
      </c>
      <c r="J9" t="s">
        <v>475</v>
      </c>
      <c r="K9" t="s">
        <v>476</v>
      </c>
      <c r="L9" t="s">
        <v>477</v>
      </c>
      <c r="M9" t="s">
        <v>478</v>
      </c>
      <c r="N9" t="s">
        <v>479</v>
      </c>
      <c r="O9" t="s">
        <v>480</v>
      </c>
      <c r="P9" t="s">
        <v>481</v>
      </c>
    </row>
    <row r="10" spans="2:16" x14ac:dyDescent="0.35">
      <c r="B10" s="1">
        <v>46144</v>
      </c>
      <c r="C10" t="s">
        <v>12</v>
      </c>
      <c r="D10" t="s">
        <v>13</v>
      </c>
      <c r="E10" t="s">
        <v>44</v>
      </c>
      <c r="F10" t="s">
        <v>49</v>
      </c>
      <c r="G10" t="s">
        <v>45</v>
      </c>
      <c r="H10" t="s">
        <v>46</v>
      </c>
      <c r="I10" t="s">
        <v>50</v>
      </c>
      <c r="J10" t="s">
        <v>52</v>
      </c>
      <c r="K10" t="s">
        <v>51</v>
      </c>
      <c r="L10" t="s">
        <v>53</v>
      </c>
      <c r="M10" t="s">
        <v>54</v>
      </c>
      <c r="N10" t="s">
        <v>55</v>
      </c>
      <c r="O10" t="s">
        <v>48</v>
      </c>
      <c r="P10" t="s">
        <v>47</v>
      </c>
    </row>
    <row r="11" spans="2:16" x14ac:dyDescent="0.35">
      <c r="B11" s="1">
        <v>46145</v>
      </c>
      <c r="C11" t="s">
        <v>591</v>
      </c>
      <c r="D11" t="s">
        <v>13</v>
      </c>
      <c r="E11" t="s">
        <v>599</v>
      </c>
      <c r="F11" t="s">
        <v>617</v>
      </c>
      <c r="G11" t="s">
        <v>612</v>
      </c>
      <c r="H11" t="s">
        <v>613</v>
      </c>
      <c r="I11" t="s">
        <v>618</v>
      </c>
      <c r="J11" t="s">
        <v>619</v>
      </c>
      <c r="K11" t="s">
        <v>614</v>
      </c>
      <c r="L11" t="s">
        <v>622</v>
      </c>
      <c r="M11" t="s">
        <v>615</v>
      </c>
      <c r="N11" t="s">
        <v>621</v>
      </c>
      <c r="O11" t="s">
        <v>620</v>
      </c>
      <c r="P11" t="s">
        <v>616</v>
      </c>
    </row>
    <row r="12" spans="2:16" x14ac:dyDescent="0.35">
      <c r="B12" s="1">
        <v>46146</v>
      </c>
      <c r="C12" t="s">
        <v>591</v>
      </c>
      <c r="D12" t="s">
        <v>226</v>
      </c>
      <c r="E12" t="s">
        <v>598</v>
      </c>
      <c r="F12" t="s">
        <v>679</v>
      </c>
      <c r="G12" t="s">
        <v>670</v>
      </c>
      <c r="H12" t="s">
        <v>671</v>
      </c>
      <c r="I12" t="s">
        <v>672</v>
      </c>
      <c r="J12" t="s">
        <v>673</v>
      </c>
      <c r="K12" t="s">
        <v>674</v>
      </c>
      <c r="L12" t="s">
        <v>675</v>
      </c>
      <c r="M12" t="s">
        <v>677</v>
      </c>
      <c r="N12" t="s">
        <v>678</v>
      </c>
      <c r="O12" t="s">
        <v>680</v>
      </c>
      <c r="P12" t="s">
        <v>676</v>
      </c>
    </row>
    <row r="13" spans="2:16" x14ac:dyDescent="0.35">
      <c r="B13" s="1">
        <v>46147</v>
      </c>
      <c r="C13" t="s">
        <v>591</v>
      </c>
      <c r="D13" t="s">
        <v>226</v>
      </c>
      <c r="E13" t="s">
        <v>593</v>
      </c>
      <c r="F13" t="s">
        <v>648</v>
      </c>
      <c r="G13" t="s">
        <v>651</v>
      </c>
      <c r="H13" t="s">
        <v>650</v>
      </c>
      <c r="I13" t="s">
        <v>658</v>
      </c>
      <c r="J13" t="s">
        <v>657</v>
      </c>
      <c r="K13" t="s">
        <v>656</v>
      </c>
      <c r="L13" t="s">
        <v>649</v>
      </c>
      <c r="M13" t="s">
        <v>653</v>
      </c>
      <c r="N13" t="s">
        <v>655</v>
      </c>
      <c r="O13" t="s">
        <v>654</v>
      </c>
      <c r="P13" t="s">
        <v>652</v>
      </c>
    </row>
    <row r="14" spans="2:16" x14ac:dyDescent="0.35">
      <c r="B14" s="1">
        <v>46148</v>
      </c>
      <c r="C14" t="s">
        <v>591</v>
      </c>
      <c r="D14" t="s">
        <v>226</v>
      </c>
      <c r="E14" t="s">
        <v>596</v>
      </c>
    </row>
    <row r="15" spans="2:16" x14ac:dyDescent="0.35">
      <c r="B15" s="1">
        <v>46149</v>
      </c>
      <c r="C15" t="s">
        <v>591</v>
      </c>
      <c r="D15" t="s">
        <v>226</v>
      </c>
      <c r="E15" t="s">
        <v>703</v>
      </c>
      <c r="F15" t="s">
        <v>710</v>
      </c>
      <c r="G15" t="s">
        <v>707</v>
      </c>
      <c r="H15" t="s">
        <v>715</v>
      </c>
      <c r="I15" t="s">
        <v>705</v>
      </c>
      <c r="J15" t="s">
        <v>706</v>
      </c>
      <c r="K15" t="s">
        <v>711</v>
      </c>
      <c r="L15" t="s">
        <v>708</v>
      </c>
      <c r="M15" t="s">
        <v>709</v>
      </c>
      <c r="N15" t="s">
        <v>713</v>
      </c>
      <c r="O15" t="s">
        <v>714</v>
      </c>
      <c r="P15" t="s">
        <v>712</v>
      </c>
    </row>
    <row r="16" spans="2:16" x14ac:dyDescent="0.35">
      <c r="B16" s="1">
        <v>46150</v>
      </c>
      <c r="C16" t="s">
        <v>12</v>
      </c>
      <c r="D16" t="s">
        <v>13</v>
      </c>
      <c r="E16" t="s">
        <v>260</v>
      </c>
      <c r="F16" t="s">
        <v>522</v>
      </c>
      <c r="G16" t="s">
        <v>523</v>
      </c>
      <c r="H16" t="s">
        <v>524</v>
      </c>
      <c r="I16" t="s">
        <v>525</v>
      </c>
      <c r="J16" t="s">
        <v>526</v>
      </c>
      <c r="K16" t="s">
        <v>527</v>
      </c>
      <c r="L16" t="s">
        <v>528</v>
      </c>
      <c r="M16" t="s">
        <v>529</v>
      </c>
      <c r="N16" t="s">
        <v>530</v>
      </c>
      <c r="O16" t="s">
        <v>531</v>
      </c>
      <c r="P16" t="s">
        <v>532</v>
      </c>
    </row>
    <row r="17" spans="2:16" x14ac:dyDescent="0.35">
      <c r="B17" s="1">
        <v>46151</v>
      </c>
      <c r="C17" t="s">
        <v>591</v>
      </c>
      <c r="D17" t="s">
        <v>226</v>
      </c>
      <c r="E17" t="s">
        <v>592</v>
      </c>
      <c r="F17" t="s">
        <v>639</v>
      </c>
      <c r="G17" t="s">
        <v>645</v>
      </c>
      <c r="H17" t="s">
        <v>644</v>
      </c>
      <c r="I17" t="s">
        <v>647</v>
      </c>
      <c r="J17" t="s">
        <v>646</v>
      </c>
      <c r="K17" t="s">
        <v>637</v>
      </c>
      <c r="L17" t="s">
        <v>638</v>
      </c>
      <c r="M17" t="s">
        <v>640</v>
      </c>
      <c r="N17" t="s">
        <v>642</v>
      </c>
      <c r="O17" t="s">
        <v>643</v>
      </c>
      <c r="P17" t="s">
        <v>641</v>
      </c>
    </row>
    <row r="18" spans="2:16" x14ac:dyDescent="0.35">
      <c r="B18" s="1">
        <v>46152</v>
      </c>
      <c r="C18" t="s">
        <v>12</v>
      </c>
      <c r="D18" t="s">
        <v>202</v>
      </c>
      <c r="E18" t="s">
        <v>204</v>
      </c>
      <c r="F18" t="s">
        <v>215</v>
      </c>
      <c r="G18" t="s">
        <v>216</v>
      </c>
      <c r="H18" t="s">
        <v>217</v>
      </c>
      <c r="I18" t="s">
        <v>218</v>
      </c>
      <c r="J18" t="s">
        <v>219</v>
      </c>
      <c r="K18" t="s">
        <v>222</v>
      </c>
      <c r="L18" t="s">
        <v>223</v>
      </c>
      <c r="M18" t="s">
        <v>224</v>
      </c>
      <c r="N18" t="s">
        <v>225</v>
      </c>
      <c r="O18" t="s">
        <v>220</v>
      </c>
      <c r="P18" t="s">
        <v>221</v>
      </c>
    </row>
    <row r="19" spans="2:16" x14ac:dyDescent="0.35">
      <c r="B19" s="1">
        <v>46153</v>
      </c>
      <c r="C19" t="s">
        <v>12</v>
      </c>
      <c r="D19" t="s">
        <v>13</v>
      </c>
      <c r="E19" t="s">
        <v>133</v>
      </c>
      <c r="F19" t="s">
        <v>134</v>
      </c>
      <c r="G19" t="s">
        <v>135</v>
      </c>
      <c r="H19" t="s">
        <v>136</v>
      </c>
      <c r="I19" t="s">
        <v>137</v>
      </c>
      <c r="J19" t="s">
        <v>141</v>
      </c>
      <c r="K19" t="s">
        <v>142</v>
      </c>
      <c r="L19" t="s">
        <v>143</v>
      </c>
      <c r="M19" t="s">
        <v>144</v>
      </c>
      <c r="N19" t="s">
        <v>140</v>
      </c>
      <c r="O19" t="s">
        <v>139</v>
      </c>
      <c r="P19" t="s">
        <v>138</v>
      </c>
    </row>
    <row r="20" spans="2:16" x14ac:dyDescent="0.35">
      <c r="B20" s="1">
        <v>46154</v>
      </c>
      <c r="C20" t="s">
        <v>158</v>
      </c>
      <c r="D20" t="s">
        <v>167</v>
      </c>
      <c r="E20" t="s">
        <v>168</v>
      </c>
      <c r="F20" t="s">
        <v>169</v>
      </c>
      <c r="G20" t="s">
        <v>170</v>
      </c>
      <c r="H20" t="s">
        <v>174</v>
      </c>
      <c r="I20" t="s">
        <v>166</v>
      </c>
      <c r="J20" t="s">
        <v>173</v>
      </c>
      <c r="K20" t="s">
        <v>175</v>
      </c>
      <c r="L20" t="s">
        <v>177</v>
      </c>
      <c r="M20" t="s">
        <v>176</v>
      </c>
      <c r="N20" t="s">
        <v>178</v>
      </c>
      <c r="O20" t="s">
        <v>172</v>
      </c>
      <c r="P20" t="s">
        <v>171</v>
      </c>
    </row>
    <row r="21" spans="2:16" x14ac:dyDescent="0.35">
      <c r="B21" s="1">
        <v>46155</v>
      </c>
      <c r="C21" t="s">
        <v>591</v>
      </c>
      <c r="D21" t="s">
        <v>13</v>
      </c>
      <c r="E21" t="s">
        <v>590</v>
      </c>
    </row>
    <row r="22" spans="2:16" x14ac:dyDescent="0.35">
      <c r="B22" s="1">
        <v>46156</v>
      </c>
      <c r="C22" t="s">
        <v>158</v>
      </c>
      <c r="D22" t="s">
        <v>13</v>
      </c>
      <c r="E22" t="s">
        <v>589</v>
      </c>
    </row>
    <row r="23" spans="2:16" x14ac:dyDescent="0.35">
      <c r="B23" s="1">
        <v>46157</v>
      </c>
      <c r="C23" t="s">
        <v>158</v>
      </c>
      <c r="D23" t="s">
        <v>226</v>
      </c>
      <c r="E23" t="s">
        <v>589</v>
      </c>
    </row>
    <row r="24" spans="2:16" x14ac:dyDescent="0.35">
      <c r="B24" s="1">
        <v>46158</v>
      </c>
      <c r="C24" t="s">
        <v>158</v>
      </c>
      <c r="D24" t="s">
        <v>588</v>
      </c>
      <c r="E24" t="s">
        <v>589</v>
      </c>
      <c r="F24" t="s">
        <v>395</v>
      </c>
      <c r="G24" t="s">
        <v>395</v>
      </c>
      <c r="H24" t="s">
        <v>395</v>
      </c>
      <c r="I24" t="s">
        <v>395</v>
      </c>
      <c r="J24" t="s">
        <v>395</v>
      </c>
      <c r="K24" t="s">
        <v>395</v>
      </c>
      <c r="L24" t="s">
        <v>395</v>
      </c>
      <c r="M24" t="s">
        <v>395</v>
      </c>
      <c r="N24" t="s">
        <v>395</v>
      </c>
      <c r="O24" t="s">
        <v>395</v>
      </c>
      <c r="P24" t="s">
        <v>395</v>
      </c>
    </row>
    <row r="25" spans="2:16" x14ac:dyDescent="0.35">
      <c r="B25" s="1">
        <v>46159</v>
      </c>
      <c r="C25" t="s">
        <v>12</v>
      </c>
      <c r="D25" t="s">
        <v>13</v>
      </c>
      <c r="E25" t="s">
        <v>260</v>
      </c>
      <c r="F25" t="s">
        <v>533</v>
      </c>
      <c r="G25" t="s">
        <v>534</v>
      </c>
      <c r="H25" t="s">
        <v>535</v>
      </c>
      <c r="I25" t="s">
        <v>536</v>
      </c>
      <c r="J25" t="s">
        <v>537</v>
      </c>
      <c r="K25" t="s">
        <v>538</v>
      </c>
      <c r="L25" t="s">
        <v>539</v>
      </c>
      <c r="M25" t="s">
        <v>540</v>
      </c>
      <c r="N25" t="s">
        <v>541</v>
      </c>
      <c r="O25" t="s">
        <v>542</v>
      </c>
      <c r="P25" t="s">
        <v>543</v>
      </c>
    </row>
    <row r="26" spans="2:16" x14ac:dyDescent="0.35">
      <c r="B26" s="1">
        <v>46160</v>
      </c>
      <c r="C26" t="s">
        <v>12</v>
      </c>
      <c r="D26" t="s">
        <v>226</v>
      </c>
      <c r="E26" t="s">
        <v>204</v>
      </c>
      <c r="F26" t="s">
        <v>244</v>
      </c>
      <c r="G26" t="s">
        <v>240</v>
      </c>
      <c r="H26" t="s">
        <v>246</v>
      </c>
      <c r="I26" t="s">
        <v>238</v>
      </c>
      <c r="J26" t="s">
        <v>239</v>
      </c>
      <c r="K26" t="s">
        <v>247</v>
      </c>
      <c r="L26" t="s">
        <v>245</v>
      </c>
      <c r="M26" t="s">
        <v>248</v>
      </c>
      <c r="N26" t="s">
        <v>242</v>
      </c>
      <c r="O26" t="s">
        <v>243</v>
      </c>
      <c r="P26" t="s">
        <v>241</v>
      </c>
    </row>
    <row r="27" spans="2:16" x14ac:dyDescent="0.35">
      <c r="B27" s="1">
        <v>46161</v>
      </c>
      <c r="C27" t="s">
        <v>591</v>
      </c>
      <c r="D27" t="s">
        <v>226</v>
      </c>
      <c r="E27" t="s">
        <v>599</v>
      </c>
    </row>
    <row r="28" spans="2:16" x14ac:dyDescent="0.35">
      <c r="B28" s="1">
        <v>46162</v>
      </c>
      <c r="C28" t="s">
        <v>12</v>
      </c>
      <c r="D28" t="s">
        <v>202</v>
      </c>
      <c r="E28" t="s">
        <v>203</v>
      </c>
      <c r="F28" t="s">
        <v>205</v>
      </c>
      <c r="G28" t="s">
        <v>206</v>
      </c>
      <c r="H28" t="s">
        <v>207</v>
      </c>
      <c r="I28" t="s">
        <v>208</v>
      </c>
      <c r="J28" t="s">
        <v>209</v>
      </c>
      <c r="K28" t="s">
        <v>210</v>
      </c>
      <c r="L28" t="s">
        <v>211</v>
      </c>
      <c r="M28" t="s">
        <v>213</v>
      </c>
      <c r="N28" t="s">
        <v>214</v>
      </c>
      <c r="O28" t="s">
        <v>212</v>
      </c>
      <c r="P28" t="s">
        <v>470</v>
      </c>
    </row>
    <row r="29" spans="2:16" x14ac:dyDescent="0.35">
      <c r="B29" s="1">
        <v>46163</v>
      </c>
      <c r="C29" t="s">
        <v>591</v>
      </c>
      <c r="D29" t="s">
        <v>13</v>
      </c>
      <c r="E29" t="s">
        <v>598</v>
      </c>
    </row>
    <row r="30" spans="2:16" x14ac:dyDescent="0.35">
      <c r="B30" s="1">
        <v>46164</v>
      </c>
      <c r="C30" t="s">
        <v>591</v>
      </c>
      <c r="D30" t="s">
        <v>13</v>
      </c>
      <c r="E30" t="s">
        <v>593</v>
      </c>
      <c r="F30" t="s">
        <v>601</v>
      </c>
      <c r="G30" t="s">
        <v>602</v>
      </c>
      <c r="H30" t="s">
        <v>603</v>
      </c>
      <c r="I30" t="s">
        <v>604</v>
      </c>
      <c r="J30" t="s">
        <v>605</v>
      </c>
      <c r="K30" t="s">
        <v>606</v>
      </c>
      <c r="L30" t="s">
        <v>608</v>
      </c>
      <c r="M30" t="s">
        <v>609</v>
      </c>
      <c r="N30" t="s">
        <v>610</v>
      </c>
      <c r="O30" t="s">
        <v>611</v>
      </c>
      <c r="P30" t="s">
        <v>607</v>
      </c>
    </row>
    <row r="31" spans="2:16" x14ac:dyDescent="0.35">
      <c r="B31" s="1">
        <v>46165</v>
      </c>
      <c r="C31" t="s">
        <v>591</v>
      </c>
      <c r="D31" t="s">
        <v>13</v>
      </c>
      <c r="E31" t="s">
        <v>592</v>
      </c>
    </row>
    <row r="32" spans="2:16" x14ac:dyDescent="0.35">
      <c r="B32" s="1">
        <v>46166</v>
      </c>
      <c r="C32" t="s">
        <v>591</v>
      </c>
      <c r="D32" t="s">
        <v>226</v>
      </c>
      <c r="E32" t="s">
        <v>595</v>
      </c>
    </row>
    <row r="33" spans="2:16" x14ac:dyDescent="0.35">
      <c r="B33" s="1">
        <v>46167</v>
      </c>
      <c r="C33" t="s">
        <v>591</v>
      </c>
      <c r="D33" t="s">
        <v>226</v>
      </c>
      <c r="E33" t="s">
        <v>590</v>
      </c>
      <c r="F33" t="s">
        <v>625</v>
      </c>
      <c r="G33" t="s">
        <v>628</v>
      </c>
      <c r="H33" t="s">
        <v>623</v>
      </c>
      <c r="I33" t="s">
        <v>626</v>
      </c>
      <c r="J33" t="s">
        <v>633</v>
      </c>
      <c r="K33" t="s">
        <v>631</v>
      </c>
      <c r="L33" t="s">
        <v>624</v>
      </c>
      <c r="M33" t="s">
        <v>627</v>
      </c>
      <c r="N33" t="s">
        <v>632</v>
      </c>
      <c r="O33" t="s">
        <v>629</v>
      </c>
      <c r="P33" t="s">
        <v>630</v>
      </c>
    </row>
    <row r="34" spans="2:16" x14ac:dyDescent="0.35">
      <c r="B34" s="1">
        <v>46168</v>
      </c>
      <c r="C34" t="s">
        <v>285</v>
      </c>
      <c r="D34" t="s">
        <v>226</v>
      </c>
      <c r="E34" t="s">
        <v>591</v>
      </c>
      <c r="F34" t="s">
        <v>293</v>
      </c>
      <c r="G34" t="s">
        <v>460</v>
      </c>
      <c r="H34" t="s">
        <v>297</v>
      </c>
      <c r="I34" t="s">
        <v>461</v>
      </c>
      <c r="J34" t="s">
        <v>298</v>
      </c>
      <c r="K34" t="s">
        <v>300</v>
      </c>
      <c r="L34" t="s">
        <v>462</v>
      </c>
      <c r="M34" t="s">
        <v>463</v>
      </c>
      <c r="N34" t="s">
        <v>295</v>
      </c>
      <c r="O34" t="s">
        <v>296</v>
      </c>
      <c r="P34" t="s">
        <v>301</v>
      </c>
    </row>
    <row r="35" spans="2:16" x14ac:dyDescent="0.35">
      <c r="B35" s="1">
        <v>46169</v>
      </c>
      <c r="C35" t="s">
        <v>285</v>
      </c>
      <c r="D35" t="s">
        <v>13</v>
      </c>
      <c r="E35" t="s">
        <v>591</v>
      </c>
      <c r="F35" t="s">
        <v>287</v>
      </c>
      <c r="G35" t="s">
        <v>551</v>
      </c>
      <c r="H35" t="s">
        <v>552</v>
      </c>
      <c r="I35" t="s">
        <v>553</v>
      </c>
      <c r="J35" t="s">
        <v>554</v>
      </c>
      <c r="K35" t="s">
        <v>290</v>
      </c>
      <c r="L35" t="s">
        <v>291</v>
      </c>
      <c r="M35" t="s">
        <v>292</v>
      </c>
      <c r="N35" t="s">
        <v>555</v>
      </c>
      <c r="O35" t="s">
        <v>556</v>
      </c>
      <c r="P35" t="s">
        <v>557</v>
      </c>
    </row>
    <row r="36" spans="2:16" x14ac:dyDescent="0.35">
      <c r="B36" s="1">
        <v>46170</v>
      </c>
      <c r="C36" t="s">
        <v>285</v>
      </c>
      <c r="D36" t="s">
        <v>226</v>
      </c>
      <c r="E36" t="s">
        <v>591</v>
      </c>
      <c r="F36" t="s">
        <v>294</v>
      </c>
      <c r="G36" t="s">
        <v>464</v>
      </c>
      <c r="H36" t="s">
        <v>465</v>
      </c>
      <c r="I36" t="s">
        <v>466</v>
      </c>
      <c r="J36" t="s">
        <v>467</v>
      </c>
      <c r="K36" t="s">
        <v>303</v>
      </c>
      <c r="L36" t="s">
        <v>304</v>
      </c>
      <c r="M36" t="s">
        <v>468</v>
      </c>
      <c r="N36" t="s">
        <v>469</v>
      </c>
      <c r="O36" t="s">
        <v>302</v>
      </c>
      <c r="P36" t="s">
        <v>299</v>
      </c>
    </row>
    <row r="37" spans="2:16" x14ac:dyDescent="0.35">
      <c r="B37" s="1">
        <v>46171</v>
      </c>
      <c r="C37" t="s">
        <v>285</v>
      </c>
      <c r="D37" t="s">
        <v>13</v>
      </c>
      <c r="E37" t="s">
        <v>591</v>
      </c>
      <c r="F37" t="s">
        <v>286</v>
      </c>
      <c r="G37" t="s">
        <v>544</v>
      </c>
      <c r="H37" t="s">
        <v>545</v>
      </c>
      <c r="I37" t="s">
        <v>546</v>
      </c>
      <c r="J37" t="s">
        <v>288</v>
      </c>
      <c r="K37" t="s">
        <v>547</v>
      </c>
      <c r="L37" t="s">
        <v>289</v>
      </c>
      <c r="M37" t="s">
        <v>548</v>
      </c>
      <c r="N37" t="s">
        <v>305</v>
      </c>
      <c r="O37" t="s">
        <v>549</v>
      </c>
      <c r="P37" t="s">
        <v>550</v>
      </c>
    </row>
    <row r="38" spans="2:16" x14ac:dyDescent="0.35">
      <c r="B38" s="1">
        <v>46172</v>
      </c>
      <c r="C38" t="s">
        <v>285</v>
      </c>
      <c r="D38" t="s">
        <v>167</v>
      </c>
      <c r="E38" t="s">
        <v>179</v>
      </c>
      <c r="F38" t="s">
        <v>180</v>
      </c>
      <c r="G38" t="s">
        <v>183</v>
      </c>
      <c r="H38" t="s">
        <v>316</v>
      </c>
      <c r="I38" t="s">
        <v>185</v>
      </c>
      <c r="J38" t="s">
        <v>184</v>
      </c>
      <c r="K38" t="s">
        <v>187</v>
      </c>
      <c r="L38" t="s">
        <v>558</v>
      </c>
      <c r="M38" t="s">
        <v>188</v>
      </c>
      <c r="N38" t="s">
        <v>186</v>
      </c>
      <c r="O38" t="s">
        <v>181</v>
      </c>
      <c r="P38" t="s">
        <v>182</v>
      </c>
    </row>
    <row r="39" spans="2:16" x14ac:dyDescent="0.35">
      <c r="B39" s="1">
        <v>46173</v>
      </c>
      <c r="C39" t="s">
        <v>249</v>
      </c>
      <c r="D39" t="s">
        <v>261</v>
      </c>
      <c r="E39" t="s">
        <v>262</v>
      </c>
      <c r="F39" t="s">
        <v>482</v>
      </c>
      <c r="G39" t="s">
        <v>263</v>
      </c>
      <c r="H39" t="s">
        <v>483</v>
      </c>
      <c r="I39" t="s">
        <v>484</v>
      </c>
      <c r="J39" t="s">
        <v>265</v>
      </c>
      <c r="K39" t="s">
        <v>485</v>
      </c>
      <c r="L39" t="s">
        <v>486</v>
      </c>
      <c r="M39" t="s">
        <v>487</v>
      </c>
      <c r="N39" t="s">
        <v>266</v>
      </c>
      <c r="O39" t="s">
        <v>264</v>
      </c>
      <c r="P39" t="s">
        <v>488</v>
      </c>
    </row>
    <row r="40" spans="2:16" x14ac:dyDescent="0.35">
      <c r="B40" s="1">
        <v>46174</v>
      </c>
      <c r="C40" t="s">
        <v>249</v>
      </c>
      <c r="D40" t="s">
        <v>226</v>
      </c>
      <c r="E40" t="s">
        <v>591</v>
      </c>
      <c r="F40" t="s">
        <v>329</v>
      </c>
      <c r="G40" t="s">
        <v>330</v>
      </c>
      <c r="H40" t="s">
        <v>331</v>
      </c>
      <c r="I40" t="s">
        <v>332</v>
      </c>
      <c r="J40" t="s">
        <v>333</v>
      </c>
      <c r="K40" t="s">
        <v>334</v>
      </c>
      <c r="L40" t="s">
        <v>335</v>
      </c>
      <c r="M40" t="s">
        <v>336</v>
      </c>
      <c r="N40" t="s">
        <v>337</v>
      </c>
      <c r="O40" t="s">
        <v>338</v>
      </c>
      <c r="P40" t="s">
        <v>339</v>
      </c>
    </row>
    <row r="41" spans="2:16" x14ac:dyDescent="0.35">
      <c r="B41" s="1">
        <v>46175</v>
      </c>
      <c r="C41" t="s">
        <v>249</v>
      </c>
      <c r="D41" t="s">
        <v>13</v>
      </c>
      <c r="E41" t="s">
        <v>591</v>
      </c>
      <c r="F41" t="s">
        <v>506</v>
      </c>
      <c r="G41" t="s">
        <v>507</v>
      </c>
      <c r="H41" t="s">
        <v>508</v>
      </c>
      <c r="I41" t="s">
        <v>509</v>
      </c>
      <c r="J41" t="s">
        <v>510</v>
      </c>
      <c r="K41" t="s">
        <v>253</v>
      </c>
      <c r="L41" t="s">
        <v>511</v>
      </c>
      <c r="M41" t="s">
        <v>512</v>
      </c>
      <c r="N41" t="s">
        <v>513</v>
      </c>
      <c r="O41" t="s">
        <v>256</v>
      </c>
      <c r="P41" t="s">
        <v>257</v>
      </c>
    </row>
    <row r="42" spans="2:16" x14ac:dyDescent="0.35">
      <c r="B42" s="1">
        <v>46175</v>
      </c>
      <c r="C42" t="s">
        <v>249</v>
      </c>
      <c r="D42" t="s">
        <v>226</v>
      </c>
      <c r="E42" t="s">
        <v>277</v>
      </c>
      <c r="F42" t="s">
        <v>395</v>
      </c>
      <c r="G42" t="s">
        <v>395</v>
      </c>
      <c r="H42" t="s">
        <v>395</v>
      </c>
      <c r="I42" t="s">
        <v>395</v>
      </c>
      <c r="J42" t="s">
        <v>395</v>
      </c>
      <c r="K42" t="s">
        <v>395</v>
      </c>
      <c r="L42" t="s">
        <v>395</v>
      </c>
      <c r="M42" t="s">
        <v>395</v>
      </c>
      <c r="N42" t="s">
        <v>395</v>
      </c>
      <c r="O42" t="s">
        <v>395</v>
      </c>
      <c r="P42" t="s">
        <v>395</v>
      </c>
    </row>
    <row r="43" spans="2:16" x14ac:dyDescent="0.35">
      <c r="B43" s="1">
        <v>46176</v>
      </c>
      <c r="C43" t="s">
        <v>591</v>
      </c>
      <c r="D43" t="s">
        <v>226</v>
      </c>
      <c r="E43" t="s">
        <v>594</v>
      </c>
      <c r="F43" t="s">
        <v>666</v>
      </c>
      <c r="G43" t="s">
        <v>661</v>
      </c>
      <c r="H43" t="s">
        <v>663</v>
      </c>
      <c r="I43" t="s">
        <v>667</v>
      </c>
      <c r="J43" t="s">
        <v>659</v>
      </c>
      <c r="K43" t="s">
        <v>664</v>
      </c>
      <c r="L43" t="s">
        <v>665</v>
      </c>
      <c r="M43" t="s">
        <v>660</v>
      </c>
      <c r="N43" t="s">
        <v>662</v>
      </c>
      <c r="O43" t="s">
        <v>669</v>
      </c>
      <c r="P43" t="s">
        <v>668</v>
      </c>
    </row>
    <row r="44" spans="2:16" x14ac:dyDescent="0.35">
      <c r="B44" s="1">
        <v>46177</v>
      </c>
      <c r="C44" t="s">
        <v>591</v>
      </c>
      <c r="D44" t="s">
        <v>13</v>
      </c>
      <c r="E44" t="s">
        <v>595</v>
      </c>
    </row>
    <row r="45" spans="2:16" x14ac:dyDescent="0.35">
      <c r="B45" s="1">
        <v>46178</v>
      </c>
      <c r="C45" t="s">
        <v>600</v>
      </c>
      <c r="D45" t="s">
        <v>226</v>
      </c>
      <c r="E45" t="s">
        <v>591</v>
      </c>
    </row>
    <row r="46" spans="2:16" x14ac:dyDescent="0.35">
      <c r="B46" s="1">
        <v>46179</v>
      </c>
      <c r="C46" t="s">
        <v>249</v>
      </c>
      <c r="D46" t="s">
        <v>226</v>
      </c>
      <c r="E46" t="s">
        <v>283</v>
      </c>
      <c r="F46" t="s">
        <v>395</v>
      </c>
      <c r="G46" t="s">
        <v>395</v>
      </c>
      <c r="H46" t="s">
        <v>395</v>
      </c>
      <c r="I46" t="s">
        <v>395</v>
      </c>
      <c r="J46" t="s">
        <v>395</v>
      </c>
      <c r="K46" t="s">
        <v>395</v>
      </c>
      <c r="L46" t="s">
        <v>395</v>
      </c>
      <c r="M46" t="s">
        <v>395</v>
      </c>
      <c r="N46" t="s">
        <v>395</v>
      </c>
      <c r="O46" t="s">
        <v>395</v>
      </c>
      <c r="P46" t="s">
        <v>395</v>
      </c>
    </row>
    <row r="47" spans="2:16" x14ac:dyDescent="0.35">
      <c r="B47" s="1">
        <v>46180</v>
      </c>
      <c r="C47" t="s">
        <v>249</v>
      </c>
      <c r="D47" t="s">
        <v>226</v>
      </c>
      <c r="E47" t="s">
        <v>591</v>
      </c>
      <c r="F47" t="s">
        <v>351</v>
      </c>
      <c r="G47" t="s">
        <v>250</v>
      </c>
      <c r="H47" t="s">
        <v>352</v>
      </c>
      <c r="I47" t="s">
        <v>353</v>
      </c>
      <c r="J47" t="s">
        <v>354</v>
      </c>
      <c r="K47" t="s">
        <v>355</v>
      </c>
      <c r="L47" t="s">
        <v>356</v>
      </c>
      <c r="M47" t="s">
        <v>251</v>
      </c>
      <c r="N47" t="s">
        <v>252</v>
      </c>
      <c r="O47" t="s">
        <v>357</v>
      </c>
      <c r="P47" t="s">
        <v>358</v>
      </c>
    </row>
    <row r="48" spans="2:16" x14ac:dyDescent="0.35">
      <c r="B48" s="1">
        <v>46181</v>
      </c>
      <c r="C48" t="s">
        <v>249</v>
      </c>
      <c r="D48" t="s">
        <v>13</v>
      </c>
      <c r="E48" t="s">
        <v>591</v>
      </c>
      <c r="F48" t="s">
        <v>514</v>
      </c>
      <c r="G48" t="s">
        <v>515</v>
      </c>
      <c r="H48" t="s">
        <v>516</v>
      </c>
      <c r="I48" t="s">
        <v>258</v>
      </c>
      <c r="J48" t="s">
        <v>517</v>
      </c>
      <c r="K48" t="s">
        <v>259</v>
      </c>
      <c r="L48" t="s">
        <v>518</v>
      </c>
      <c r="M48" t="s">
        <v>519</v>
      </c>
      <c r="N48" t="s">
        <v>254</v>
      </c>
      <c r="O48" t="s">
        <v>520</v>
      </c>
      <c r="P48" t="s">
        <v>521</v>
      </c>
    </row>
    <row r="49" spans="2:16" x14ac:dyDescent="0.35">
      <c r="B49" s="1">
        <v>46182</v>
      </c>
      <c r="C49" t="s">
        <v>600</v>
      </c>
      <c r="D49" t="s">
        <v>13</v>
      </c>
      <c r="E49" t="s">
        <v>591</v>
      </c>
    </row>
    <row r="50" spans="2:16" x14ac:dyDescent="0.35">
      <c r="B50" s="1">
        <v>46183</v>
      </c>
      <c r="C50" t="s">
        <v>249</v>
      </c>
      <c r="D50" t="s">
        <v>13</v>
      </c>
      <c r="E50" t="s">
        <v>283</v>
      </c>
      <c r="F50" t="s">
        <v>395</v>
      </c>
      <c r="G50" t="s">
        <v>395</v>
      </c>
      <c r="H50" t="s">
        <v>395</v>
      </c>
      <c r="I50" t="s">
        <v>395</v>
      </c>
      <c r="J50" t="s">
        <v>395</v>
      </c>
      <c r="K50" t="s">
        <v>395</v>
      </c>
      <c r="L50" t="s">
        <v>395</v>
      </c>
      <c r="M50" t="s">
        <v>395</v>
      </c>
      <c r="N50" t="s">
        <v>395</v>
      </c>
      <c r="O50" t="s">
        <v>395</v>
      </c>
      <c r="P50" t="s">
        <v>395</v>
      </c>
    </row>
    <row r="51" spans="2:16" x14ac:dyDescent="0.35">
      <c r="B51" s="1">
        <v>46184</v>
      </c>
      <c r="C51" t="s">
        <v>249</v>
      </c>
      <c r="D51" t="s">
        <v>226</v>
      </c>
      <c r="E51" t="s">
        <v>267</v>
      </c>
      <c r="F51" t="s">
        <v>359</v>
      </c>
      <c r="G51" t="s">
        <v>360</v>
      </c>
      <c r="H51" t="s">
        <v>361</v>
      </c>
      <c r="I51" t="s">
        <v>362</v>
      </c>
      <c r="J51" t="s">
        <v>363</v>
      </c>
      <c r="K51" t="s">
        <v>364</v>
      </c>
      <c r="L51" t="s">
        <v>365</v>
      </c>
      <c r="M51" t="s">
        <v>366</v>
      </c>
      <c r="N51" t="s">
        <v>367</v>
      </c>
      <c r="O51" t="s">
        <v>368</v>
      </c>
      <c r="P51" t="s">
        <v>369</v>
      </c>
    </row>
    <row r="52" spans="2:16" x14ac:dyDescent="0.35">
      <c r="B52" s="1">
        <v>46185</v>
      </c>
      <c r="C52" t="s">
        <v>249</v>
      </c>
      <c r="D52" t="s">
        <v>226</v>
      </c>
      <c r="E52" t="s">
        <v>273</v>
      </c>
      <c r="F52" t="s">
        <v>370</v>
      </c>
      <c r="G52" t="s">
        <v>306</v>
      </c>
      <c r="H52" t="s">
        <v>371</v>
      </c>
      <c r="I52" t="s">
        <v>372</v>
      </c>
      <c r="J52" t="s">
        <v>373</v>
      </c>
      <c r="K52" t="s">
        <v>374</v>
      </c>
      <c r="L52" t="s">
        <v>375</v>
      </c>
      <c r="M52" t="s">
        <v>376</v>
      </c>
      <c r="N52" t="s">
        <v>377</v>
      </c>
      <c r="O52" t="s">
        <v>378</v>
      </c>
      <c r="P52" t="s">
        <v>307</v>
      </c>
    </row>
    <row r="53" spans="2:16" x14ac:dyDescent="0.35">
      <c r="B53" s="1">
        <v>46186</v>
      </c>
      <c r="C53" t="s">
        <v>12</v>
      </c>
      <c r="D53" t="s">
        <v>13</v>
      </c>
      <c r="E53" t="s">
        <v>22</v>
      </c>
      <c r="F53" t="s">
        <v>159</v>
      </c>
      <c r="G53" t="s">
        <v>160</v>
      </c>
      <c r="H53" t="s">
        <v>161</v>
      </c>
      <c r="I53" t="s">
        <v>162</v>
      </c>
      <c r="J53" t="s">
        <v>492</v>
      </c>
      <c r="K53" t="s">
        <v>493</v>
      </c>
      <c r="L53" t="s">
        <v>494</v>
      </c>
      <c r="M53" t="s">
        <v>495</v>
      </c>
      <c r="N53" t="s">
        <v>163</v>
      </c>
      <c r="O53" t="s">
        <v>164</v>
      </c>
      <c r="P53" t="s">
        <v>165</v>
      </c>
    </row>
    <row r="54" spans="2:16" x14ac:dyDescent="0.35">
      <c r="B54" s="1">
        <v>46187</v>
      </c>
      <c r="C54" t="s">
        <v>249</v>
      </c>
      <c r="D54" t="s">
        <v>226</v>
      </c>
      <c r="E54" t="s">
        <v>275</v>
      </c>
      <c r="F54" t="s">
        <v>563</v>
      </c>
      <c r="G54" t="s">
        <v>564</v>
      </c>
      <c r="H54" t="s">
        <v>565</v>
      </c>
      <c r="I54" t="s">
        <v>566</v>
      </c>
      <c r="J54" t="s">
        <v>567</v>
      </c>
      <c r="K54" t="s">
        <v>568</v>
      </c>
      <c r="L54" t="s">
        <v>569</v>
      </c>
      <c r="M54" t="s">
        <v>570</v>
      </c>
      <c r="N54" t="s">
        <v>559</v>
      </c>
      <c r="O54" t="s">
        <v>571</v>
      </c>
      <c r="P54" t="s">
        <v>579</v>
      </c>
    </row>
    <row r="55" spans="2:16" x14ac:dyDescent="0.35">
      <c r="B55" s="1">
        <v>46188</v>
      </c>
      <c r="C55" t="s">
        <v>249</v>
      </c>
      <c r="D55" t="s">
        <v>226</v>
      </c>
      <c r="E55" t="s">
        <v>271</v>
      </c>
      <c r="F55" t="s">
        <v>314</v>
      </c>
      <c r="G55" t="s">
        <v>415</v>
      </c>
      <c r="H55" t="s">
        <v>416</v>
      </c>
      <c r="I55" t="s">
        <v>417</v>
      </c>
      <c r="J55" t="s">
        <v>418</v>
      </c>
      <c r="K55" t="s">
        <v>419</v>
      </c>
      <c r="L55" t="s">
        <v>420</v>
      </c>
      <c r="M55" t="s">
        <v>421</v>
      </c>
      <c r="N55" t="s">
        <v>422</v>
      </c>
      <c r="O55" t="s">
        <v>423</v>
      </c>
      <c r="P55" t="s">
        <v>313</v>
      </c>
    </row>
    <row r="56" spans="2:16" x14ac:dyDescent="0.35">
      <c r="B56" s="1">
        <v>46189</v>
      </c>
      <c r="C56" t="s">
        <v>249</v>
      </c>
      <c r="D56" t="s">
        <v>226</v>
      </c>
      <c r="E56" t="s">
        <v>280</v>
      </c>
      <c r="F56" t="s">
        <v>315</v>
      </c>
      <c r="G56" t="s">
        <v>432</v>
      </c>
      <c r="H56" t="s">
        <v>433</v>
      </c>
      <c r="I56" t="s">
        <v>434</v>
      </c>
      <c r="J56" t="s">
        <v>435</v>
      </c>
      <c r="K56" t="s">
        <v>436</v>
      </c>
      <c r="L56" t="s">
        <v>437</v>
      </c>
      <c r="M56" t="s">
        <v>438</v>
      </c>
      <c r="N56" t="s">
        <v>439</v>
      </c>
      <c r="O56" t="s">
        <v>440</v>
      </c>
      <c r="P56" t="s">
        <v>441</v>
      </c>
    </row>
    <row r="57" spans="2:16" x14ac:dyDescent="0.35">
      <c r="B57" s="1">
        <v>46190</v>
      </c>
      <c r="C57" t="s">
        <v>249</v>
      </c>
      <c r="D57" t="s">
        <v>226</v>
      </c>
      <c r="E57" t="s">
        <v>272</v>
      </c>
      <c r="F57" t="s">
        <v>580</v>
      </c>
      <c r="G57" t="s">
        <v>458</v>
      </c>
      <c r="H57" t="s">
        <v>581</v>
      </c>
      <c r="I57" t="s">
        <v>582</v>
      </c>
      <c r="J57" t="s">
        <v>583</v>
      </c>
      <c r="K57" t="s">
        <v>584</v>
      </c>
      <c r="L57" t="s">
        <v>585</v>
      </c>
      <c r="M57" t="s">
        <v>459</v>
      </c>
      <c r="N57" t="s">
        <v>318</v>
      </c>
      <c r="O57" t="s">
        <v>586</v>
      </c>
      <c r="P57" t="s">
        <v>587</v>
      </c>
    </row>
    <row r="58" spans="2:16" x14ac:dyDescent="0.35">
      <c r="B58" s="1">
        <v>46191</v>
      </c>
      <c r="C58" t="s">
        <v>249</v>
      </c>
      <c r="D58" t="s">
        <v>226</v>
      </c>
      <c r="E58" t="s">
        <v>282</v>
      </c>
      <c r="F58" t="s">
        <v>448</v>
      </c>
      <c r="G58" t="s">
        <v>449</v>
      </c>
      <c r="H58" t="s">
        <v>450</v>
      </c>
      <c r="I58" t="s">
        <v>317</v>
      </c>
      <c r="J58" t="s">
        <v>451</v>
      </c>
      <c r="K58" t="s">
        <v>452</v>
      </c>
      <c r="L58" t="s">
        <v>453</v>
      </c>
      <c r="M58" t="s">
        <v>454</v>
      </c>
      <c r="N58" t="s">
        <v>455</v>
      </c>
      <c r="O58" t="s">
        <v>456</v>
      </c>
      <c r="P58" t="s">
        <v>457</v>
      </c>
    </row>
    <row r="59" spans="2:16" x14ac:dyDescent="0.35">
      <c r="B59" s="1">
        <v>46192</v>
      </c>
      <c r="C59" t="s">
        <v>249</v>
      </c>
      <c r="D59" t="s">
        <v>13</v>
      </c>
      <c r="E59" t="s">
        <v>274</v>
      </c>
      <c r="F59" t="s">
        <v>395</v>
      </c>
      <c r="G59" t="s">
        <v>395</v>
      </c>
      <c r="H59" t="s">
        <v>395</v>
      </c>
      <c r="I59" t="s">
        <v>395</v>
      </c>
      <c r="J59" t="s">
        <v>395</v>
      </c>
      <c r="K59" t="s">
        <v>395</v>
      </c>
      <c r="L59" t="s">
        <v>395</v>
      </c>
      <c r="M59" t="s">
        <v>395</v>
      </c>
      <c r="N59" t="s">
        <v>395</v>
      </c>
      <c r="O59" t="s">
        <v>395</v>
      </c>
      <c r="P59" t="s">
        <v>395</v>
      </c>
    </row>
    <row r="60" spans="2:16" x14ac:dyDescent="0.35">
      <c r="B60" s="1">
        <v>46193</v>
      </c>
      <c r="C60" t="s">
        <v>249</v>
      </c>
      <c r="D60" t="s">
        <v>226</v>
      </c>
      <c r="E60" t="s">
        <v>270</v>
      </c>
      <c r="F60" t="s">
        <v>572</v>
      </c>
      <c r="G60" t="s">
        <v>573</v>
      </c>
      <c r="H60" t="s">
        <v>357</v>
      </c>
      <c r="I60" t="s">
        <v>574</v>
      </c>
      <c r="J60" t="s">
        <v>575</v>
      </c>
      <c r="K60" t="s">
        <v>576</v>
      </c>
      <c r="L60" t="s">
        <v>562</v>
      </c>
      <c r="M60" t="s">
        <v>577</v>
      </c>
      <c r="N60" t="s">
        <v>560</v>
      </c>
      <c r="O60" t="s">
        <v>561</v>
      </c>
      <c r="P60" t="s">
        <v>578</v>
      </c>
    </row>
    <row r="61" spans="2:16" x14ac:dyDescent="0.35">
      <c r="B61" s="1">
        <v>46194</v>
      </c>
      <c r="C61" t="s">
        <v>249</v>
      </c>
      <c r="D61" t="s">
        <v>226</v>
      </c>
      <c r="E61" t="s">
        <v>278</v>
      </c>
      <c r="F61" t="s">
        <v>308</v>
      </c>
      <c r="G61" t="s">
        <v>424</v>
      </c>
      <c r="H61" t="s">
        <v>425</v>
      </c>
      <c r="I61" t="s">
        <v>426</v>
      </c>
      <c r="J61" t="s">
        <v>310</v>
      </c>
      <c r="K61" t="s">
        <v>427</v>
      </c>
      <c r="L61" t="s">
        <v>428</v>
      </c>
      <c r="M61" t="s">
        <v>309</v>
      </c>
      <c r="N61" t="s">
        <v>429</v>
      </c>
      <c r="O61" t="s">
        <v>430</v>
      </c>
      <c r="P61" t="s">
        <v>431</v>
      </c>
    </row>
    <row r="62" spans="2:16" x14ac:dyDescent="0.35">
      <c r="B62" s="1">
        <v>46195</v>
      </c>
      <c r="C62" t="s">
        <v>249</v>
      </c>
      <c r="D62" t="s">
        <v>13</v>
      </c>
      <c r="E62" t="s">
        <v>269</v>
      </c>
      <c r="F62" t="s">
        <v>395</v>
      </c>
      <c r="G62" t="s">
        <v>395</v>
      </c>
      <c r="H62" t="s">
        <v>395</v>
      </c>
      <c r="I62" t="s">
        <v>395</v>
      </c>
      <c r="J62" t="s">
        <v>395</v>
      </c>
      <c r="K62" t="s">
        <v>395</v>
      </c>
      <c r="L62" t="s">
        <v>395</v>
      </c>
      <c r="M62" t="s">
        <v>395</v>
      </c>
      <c r="N62" t="s">
        <v>395</v>
      </c>
      <c r="O62" t="s">
        <v>395</v>
      </c>
      <c r="P62" t="s">
        <v>395</v>
      </c>
    </row>
    <row r="63" spans="2:16" x14ac:dyDescent="0.35">
      <c r="B63" s="1">
        <v>46196</v>
      </c>
      <c r="C63" t="s">
        <v>249</v>
      </c>
      <c r="D63" t="s">
        <v>226</v>
      </c>
      <c r="E63" t="s">
        <v>281</v>
      </c>
      <c r="F63" t="s">
        <v>395</v>
      </c>
      <c r="G63" t="s">
        <v>395</v>
      </c>
      <c r="H63" t="s">
        <v>395</v>
      </c>
      <c r="I63" t="s">
        <v>395</v>
      </c>
      <c r="J63" t="s">
        <v>395</v>
      </c>
      <c r="K63" t="s">
        <v>395</v>
      </c>
      <c r="L63" t="s">
        <v>395</v>
      </c>
      <c r="M63" t="s">
        <v>395</v>
      </c>
      <c r="N63" t="s">
        <v>395</v>
      </c>
      <c r="O63" t="s">
        <v>395</v>
      </c>
      <c r="P63" t="s">
        <v>395</v>
      </c>
    </row>
    <row r="64" spans="2:16" x14ac:dyDescent="0.35">
      <c r="B64" s="1">
        <v>46197</v>
      </c>
      <c r="C64" t="s">
        <v>249</v>
      </c>
      <c r="D64" t="s">
        <v>226</v>
      </c>
      <c r="E64" t="s">
        <v>274</v>
      </c>
      <c r="F64" t="s">
        <v>388</v>
      </c>
      <c r="G64" t="s">
        <v>389</v>
      </c>
      <c r="H64" t="s">
        <v>325</v>
      </c>
      <c r="I64" t="s">
        <v>326</v>
      </c>
      <c r="J64" t="s">
        <v>390</v>
      </c>
      <c r="K64" t="s">
        <v>327</v>
      </c>
      <c r="L64" t="s">
        <v>328</v>
      </c>
      <c r="M64" t="s">
        <v>391</v>
      </c>
      <c r="N64" t="s">
        <v>392</v>
      </c>
      <c r="O64" t="s">
        <v>393</v>
      </c>
      <c r="P64" t="s">
        <v>394</v>
      </c>
    </row>
    <row r="65" spans="2:20" x14ac:dyDescent="0.35">
      <c r="B65" s="1">
        <v>46198</v>
      </c>
      <c r="C65" t="s">
        <v>249</v>
      </c>
      <c r="D65" t="s">
        <v>226</v>
      </c>
      <c r="E65" t="s">
        <v>284</v>
      </c>
      <c r="F65" t="s">
        <v>396</v>
      </c>
      <c r="G65" t="s">
        <v>397</v>
      </c>
      <c r="H65" t="s">
        <v>398</v>
      </c>
      <c r="I65" t="s">
        <v>399</v>
      </c>
      <c r="J65" t="s">
        <v>400</v>
      </c>
      <c r="K65" t="s">
        <v>401</v>
      </c>
      <c r="L65" t="s">
        <v>402</v>
      </c>
      <c r="M65" t="s">
        <v>403</v>
      </c>
      <c r="N65" t="s">
        <v>404</v>
      </c>
      <c r="O65" t="s">
        <v>405</v>
      </c>
      <c r="P65" t="s">
        <v>406</v>
      </c>
    </row>
    <row r="66" spans="2:20" x14ac:dyDescent="0.35">
      <c r="B66" s="1">
        <v>46199</v>
      </c>
      <c r="C66" t="s">
        <v>249</v>
      </c>
      <c r="D66" t="s">
        <v>226</v>
      </c>
      <c r="E66" t="s">
        <v>276</v>
      </c>
      <c r="F66" t="s">
        <v>407</v>
      </c>
      <c r="G66" t="s">
        <v>408</v>
      </c>
      <c r="H66" t="s">
        <v>409</v>
      </c>
      <c r="I66" t="s">
        <v>355</v>
      </c>
      <c r="J66" t="s">
        <v>410</v>
      </c>
      <c r="K66" t="s">
        <v>411</v>
      </c>
      <c r="L66" t="s">
        <v>311</v>
      </c>
      <c r="M66" t="s">
        <v>412</v>
      </c>
      <c r="N66" t="s">
        <v>413</v>
      </c>
      <c r="O66" t="s">
        <v>312</v>
      </c>
      <c r="P66" t="s">
        <v>414</v>
      </c>
    </row>
    <row r="67" spans="2:20" x14ac:dyDescent="0.35">
      <c r="B67" s="1">
        <v>46200</v>
      </c>
      <c r="C67" t="s">
        <v>249</v>
      </c>
      <c r="D67" t="s">
        <v>13</v>
      </c>
      <c r="E67" t="s">
        <v>277</v>
      </c>
      <c r="F67" t="s">
        <v>395</v>
      </c>
      <c r="G67" t="s">
        <v>395</v>
      </c>
      <c r="H67" t="s">
        <v>395</v>
      </c>
      <c r="I67" t="s">
        <v>395</v>
      </c>
      <c r="J67" t="s">
        <v>395</v>
      </c>
      <c r="K67" t="s">
        <v>395</v>
      </c>
      <c r="L67" t="s">
        <v>395</v>
      </c>
      <c r="M67" t="s">
        <v>395</v>
      </c>
      <c r="N67" t="s">
        <v>395</v>
      </c>
      <c r="O67" t="s">
        <v>395</v>
      </c>
      <c r="P67" t="s">
        <v>395</v>
      </c>
    </row>
    <row r="68" spans="2:20" x14ac:dyDescent="0.35">
      <c r="B68" s="1">
        <v>46201</v>
      </c>
      <c r="C68" t="s">
        <v>249</v>
      </c>
      <c r="D68" t="s">
        <v>13</v>
      </c>
      <c r="E68" t="s">
        <v>281</v>
      </c>
      <c r="F68" t="s">
        <v>395</v>
      </c>
      <c r="G68" t="s">
        <v>395</v>
      </c>
      <c r="H68" t="s">
        <v>395</v>
      </c>
      <c r="I68" t="s">
        <v>395</v>
      </c>
      <c r="J68" t="s">
        <v>395</v>
      </c>
      <c r="K68" t="s">
        <v>395</v>
      </c>
      <c r="L68" t="s">
        <v>395</v>
      </c>
      <c r="M68" t="s">
        <v>395</v>
      </c>
      <c r="N68" t="s">
        <v>395</v>
      </c>
      <c r="O68" t="s">
        <v>395</v>
      </c>
      <c r="P68" t="s">
        <v>395</v>
      </c>
    </row>
    <row r="69" spans="2:20" x14ac:dyDescent="0.35">
      <c r="B69" s="1">
        <v>46202</v>
      </c>
      <c r="C69" t="s">
        <v>249</v>
      </c>
      <c r="D69" t="s">
        <v>13</v>
      </c>
      <c r="E69" t="s">
        <v>275</v>
      </c>
      <c r="F69" t="s">
        <v>395</v>
      </c>
      <c r="G69" t="s">
        <v>395</v>
      </c>
      <c r="H69" t="s">
        <v>395</v>
      </c>
      <c r="I69" t="s">
        <v>395</v>
      </c>
      <c r="J69" t="s">
        <v>395</v>
      </c>
      <c r="K69" t="s">
        <v>395</v>
      </c>
      <c r="L69" t="s">
        <v>395</v>
      </c>
      <c r="M69" t="s">
        <v>395</v>
      </c>
      <c r="N69" t="s">
        <v>395</v>
      </c>
      <c r="O69" t="s">
        <v>395</v>
      </c>
      <c r="P69" t="s">
        <v>395</v>
      </c>
    </row>
    <row r="70" spans="2:20" x14ac:dyDescent="0.35">
      <c r="B70" s="1">
        <v>46203</v>
      </c>
      <c r="C70" t="s">
        <v>249</v>
      </c>
      <c r="D70" t="s">
        <v>13</v>
      </c>
      <c r="E70" t="s">
        <v>279</v>
      </c>
      <c r="F70" t="s">
        <v>395</v>
      </c>
      <c r="G70" t="s">
        <v>395</v>
      </c>
      <c r="H70" t="s">
        <v>395</v>
      </c>
      <c r="I70" t="s">
        <v>395</v>
      </c>
      <c r="J70" t="s">
        <v>395</v>
      </c>
      <c r="K70" t="s">
        <v>395</v>
      </c>
      <c r="L70" t="s">
        <v>395</v>
      </c>
      <c r="M70" t="s">
        <v>395</v>
      </c>
      <c r="N70" t="s">
        <v>395</v>
      </c>
      <c r="O70" t="s">
        <v>395</v>
      </c>
      <c r="P70" t="s">
        <v>395</v>
      </c>
    </row>
    <row r="71" spans="2:20" x14ac:dyDescent="0.35">
      <c r="B71" s="1">
        <v>46204</v>
      </c>
      <c r="C71" t="s">
        <v>12</v>
      </c>
      <c r="D71" t="s">
        <v>13</v>
      </c>
      <c r="E71" t="s">
        <v>121</v>
      </c>
      <c r="F71" t="s">
        <v>124</v>
      </c>
      <c r="G71" t="s">
        <v>123</v>
      </c>
      <c r="H71" t="s">
        <v>127</v>
      </c>
      <c r="I71" t="s">
        <v>125</v>
      </c>
      <c r="J71" t="s">
        <v>128</v>
      </c>
      <c r="K71" t="s">
        <v>129</v>
      </c>
      <c r="L71" t="s">
        <v>130</v>
      </c>
      <c r="M71" t="s">
        <v>131</v>
      </c>
      <c r="N71" t="s">
        <v>132</v>
      </c>
      <c r="O71" t="s">
        <v>122</v>
      </c>
      <c r="P71" t="s">
        <v>126</v>
      </c>
    </row>
    <row r="72" spans="2:20" x14ac:dyDescent="0.35">
      <c r="B72" s="1">
        <v>46205</v>
      </c>
      <c r="C72" t="s">
        <v>12</v>
      </c>
      <c r="D72" t="s">
        <v>13</v>
      </c>
      <c r="E72" t="s">
        <v>17</v>
      </c>
      <c r="F72" t="s">
        <v>25</v>
      </c>
      <c r="G72" t="s">
        <v>29</v>
      </c>
      <c r="H72" t="s">
        <v>491</v>
      </c>
      <c r="I72" t="s">
        <v>31</v>
      </c>
      <c r="J72" t="s">
        <v>26</v>
      </c>
      <c r="K72" t="s">
        <v>30</v>
      </c>
      <c r="L72" t="s">
        <v>27</v>
      </c>
      <c r="M72" t="s">
        <v>32</v>
      </c>
      <c r="N72" t="s">
        <v>28</v>
      </c>
      <c r="O72" t="s">
        <v>24</v>
      </c>
      <c r="P72" t="s">
        <v>23</v>
      </c>
    </row>
    <row r="73" spans="2:20" x14ac:dyDescent="0.35">
      <c r="B73" s="1">
        <v>46206</v>
      </c>
      <c r="C73" t="s">
        <v>249</v>
      </c>
      <c r="D73" t="s">
        <v>226</v>
      </c>
      <c r="E73" t="s">
        <v>269</v>
      </c>
      <c r="F73" t="s">
        <v>442</v>
      </c>
      <c r="G73" t="s">
        <v>321</v>
      </c>
      <c r="H73" t="s">
        <v>341</v>
      </c>
      <c r="I73" t="s">
        <v>443</v>
      </c>
      <c r="J73" t="s">
        <v>444</v>
      </c>
      <c r="K73" t="s">
        <v>445</v>
      </c>
      <c r="L73" t="s">
        <v>323</v>
      </c>
      <c r="M73" t="s">
        <v>324</v>
      </c>
      <c r="N73" t="s">
        <v>446</v>
      </c>
      <c r="O73" t="s">
        <v>447</v>
      </c>
      <c r="P73" t="s">
        <v>322</v>
      </c>
    </row>
    <row r="74" spans="2:20" x14ac:dyDescent="0.35">
      <c r="B74" s="1">
        <v>46207</v>
      </c>
      <c r="C74" t="s">
        <v>249</v>
      </c>
      <c r="D74" t="s">
        <v>13</v>
      </c>
      <c r="E74" t="s">
        <v>270</v>
      </c>
      <c r="F74" t="s">
        <v>395</v>
      </c>
      <c r="G74" t="s">
        <v>395</v>
      </c>
      <c r="H74" t="s">
        <v>395</v>
      </c>
      <c r="I74" t="s">
        <v>395</v>
      </c>
      <c r="J74" t="s">
        <v>395</v>
      </c>
      <c r="K74" t="s">
        <v>395</v>
      </c>
      <c r="L74" t="s">
        <v>395</v>
      </c>
      <c r="M74" t="s">
        <v>395</v>
      </c>
      <c r="N74" t="s">
        <v>395</v>
      </c>
      <c r="O74" t="s">
        <v>395</v>
      </c>
      <c r="P74" t="s">
        <v>395</v>
      </c>
    </row>
    <row r="75" spans="2:20" x14ac:dyDescent="0.35">
      <c r="B75" s="1">
        <v>46208</v>
      </c>
      <c r="C75" t="s">
        <v>249</v>
      </c>
      <c r="D75" t="s">
        <v>226</v>
      </c>
      <c r="E75" t="s">
        <v>268</v>
      </c>
      <c r="F75" t="s">
        <v>379</v>
      </c>
      <c r="G75" t="s">
        <v>380</v>
      </c>
      <c r="H75" t="s">
        <v>381</v>
      </c>
      <c r="I75" t="s">
        <v>382</v>
      </c>
      <c r="J75" t="s">
        <v>320</v>
      </c>
      <c r="K75" t="s">
        <v>383</v>
      </c>
      <c r="L75" t="s">
        <v>319</v>
      </c>
      <c r="M75" t="s">
        <v>384</v>
      </c>
      <c r="N75" t="s">
        <v>385</v>
      </c>
      <c r="O75" t="s">
        <v>386</v>
      </c>
      <c r="P75" t="s">
        <v>387</v>
      </c>
      <c r="T75" t="str">
        <f>TRIM(T4)</f>
        <v/>
      </c>
    </row>
    <row r="76" spans="2:20" x14ac:dyDescent="0.35">
      <c r="B76" s="1">
        <v>46209</v>
      </c>
      <c r="C76" t="s">
        <v>12</v>
      </c>
      <c r="D76" t="s">
        <v>13</v>
      </c>
      <c r="E76" t="s">
        <v>20</v>
      </c>
      <c r="F76" t="s">
        <v>110</v>
      </c>
      <c r="G76" t="s">
        <v>111</v>
      </c>
      <c r="H76" t="s">
        <v>112</v>
      </c>
      <c r="I76" t="s">
        <v>113</v>
      </c>
      <c r="J76" t="s">
        <v>114</v>
      </c>
      <c r="K76" t="s">
        <v>115</v>
      </c>
      <c r="L76" t="s">
        <v>118</v>
      </c>
      <c r="M76" t="s">
        <v>120</v>
      </c>
      <c r="N76" t="s">
        <v>119</v>
      </c>
      <c r="O76" t="s">
        <v>116</v>
      </c>
      <c r="P76" t="s">
        <v>117</v>
      </c>
      <c r="T76" t="str">
        <f>TRIM(T6)</f>
        <v/>
      </c>
    </row>
    <row r="77" spans="2:20" x14ac:dyDescent="0.35">
      <c r="B77" s="1">
        <v>46210</v>
      </c>
      <c r="C77" t="s">
        <v>12</v>
      </c>
      <c r="D77" t="s">
        <v>13</v>
      </c>
      <c r="E77" t="s">
        <v>19</v>
      </c>
      <c r="F77" t="s">
        <v>33</v>
      </c>
      <c r="G77" t="s">
        <v>34</v>
      </c>
      <c r="H77" t="s">
        <v>35</v>
      </c>
      <c r="I77" t="s">
        <v>37</v>
      </c>
      <c r="J77" t="s">
        <v>38</v>
      </c>
      <c r="K77" t="s">
        <v>39</v>
      </c>
      <c r="L77" t="s">
        <v>40</v>
      </c>
      <c r="M77" t="s">
        <v>41</v>
      </c>
      <c r="N77" t="s">
        <v>43</v>
      </c>
      <c r="O77" t="s">
        <v>36</v>
      </c>
      <c r="P77" t="s">
        <v>42</v>
      </c>
      <c r="T77" t="e">
        <f>TRIM(#REF!)</f>
        <v>#REF!</v>
      </c>
    </row>
    <row r="78" spans="2:20" x14ac:dyDescent="0.35">
      <c r="B78" s="1">
        <v>46211</v>
      </c>
      <c r="C78" t="s">
        <v>189</v>
      </c>
      <c r="D78" t="s">
        <v>226</v>
      </c>
      <c r="F78" t="s">
        <v>395</v>
      </c>
      <c r="G78" t="s">
        <v>395</v>
      </c>
      <c r="H78" t="s">
        <v>395</v>
      </c>
      <c r="I78" t="s">
        <v>395</v>
      </c>
      <c r="J78" t="s">
        <v>395</v>
      </c>
      <c r="K78" t="s">
        <v>395</v>
      </c>
      <c r="L78" t="s">
        <v>395</v>
      </c>
      <c r="M78" t="s">
        <v>395</v>
      </c>
      <c r="N78" t="s">
        <v>395</v>
      </c>
      <c r="O78" t="s">
        <v>395</v>
      </c>
      <c r="P78" t="s">
        <v>395</v>
      </c>
      <c r="T78" t="str">
        <f>TRIM(T9)</f>
        <v/>
      </c>
    </row>
    <row r="79" spans="2:20" x14ac:dyDescent="0.35">
      <c r="B79" s="1">
        <v>46212</v>
      </c>
      <c r="C79" t="s">
        <v>249</v>
      </c>
      <c r="D79" t="s">
        <v>226</v>
      </c>
      <c r="E79" t="s">
        <v>279</v>
      </c>
      <c r="F79" t="s">
        <v>395</v>
      </c>
      <c r="G79" t="s">
        <v>395</v>
      </c>
      <c r="H79" t="s">
        <v>395</v>
      </c>
      <c r="I79" t="s">
        <v>395</v>
      </c>
      <c r="J79" t="s">
        <v>395</v>
      </c>
      <c r="K79" t="s">
        <v>395</v>
      </c>
      <c r="L79" t="s">
        <v>395</v>
      </c>
      <c r="M79" t="s">
        <v>395</v>
      </c>
      <c r="N79" t="s">
        <v>395</v>
      </c>
      <c r="O79" t="s">
        <v>395</v>
      </c>
      <c r="P79" t="s">
        <v>395</v>
      </c>
      <c r="T79" t="str">
        <f>TRIM(T11)</f>
        <v/>
      </c>
    </row>
    <row r="80" spans="2:20" x14ac:dyDescent="0.35">
      <c r="B80" s="1">
        <v>46213</v>
      </c>
      <c r="C80" t="s">
        <v>12</v>
      </c>
      <c r="D80" t="s">
        <v>13</v>
      </c>
      <c r="E80" t="s">
        <v>16</v>
      </c>
      <c r="F80" t="s">
        <v>56</v>
      </c>
      <c r="G80" t="s">
        <v>489</v>
      </c>
      <c r="H80" t="s">
        <v>57</v>
      </c>
      <c r="I80" t="s">
        <v>58</v>
      </c>
      <c r="J80" t="s">
        <v>64</v>
      </c>
      <c r="K80" t="s">
        <v>59</v>
      </c>
      <c r="L80" t="s">
        <v>60</v>
      </c>
      <c r="M80" t="s">
        <v>61</v>
      </c>
      <c r="N80" t="s">
        <v>63</v>
      </c>
      <c r="O80" t="s">
        <v>62</v>
      </c>
      <c r="P80" t="s">
        <v>490</v>
      </c>
      <c r="T80" t="str">
        <f>TRIM(T13)</f>
        <v/>
      </c>
    </row>
    <row r="81" spans="2:20" x14ac:dyDescent="0.35">
      <c r="B81" s="1">
        <v>46214</v>
      </c>
      <c r="C81" t="s">
        <v>12</v>
      </c>
      <c r="D81" t="s">
        <v>13</v>
      </c>
      <c r="E81" t="s">
        <v>18</v>
      </c>
      <c r="F81" t="s">
        <v>88</v>
      </c>
      <c r="G81" t="s">
        <v>94</v>
      </c>
      <c r="H81" t="s">
        <v>90</v>
      </c>
      <c r="I81" t="s">
        <v>91</v>
      </c>
      <c r="J81" t="s">
        <v>92</v>
      </c>
      <c r="K81" t="s">
        <v>93</v>
      </c>
      <c r="L81" t="s">
        <v>95</v>
      </c>
      <c r="M81" t="s">
        <v>89</v>
      </c>
      <c r="N81" t="s">
        <v>98</v>
      </c>
      <c r="O81" t="s">
        <v>97</v>
      </c>
      <c r="P81" t="s">
        <v>96</v>
      </c>
      <c r="T81" t="str">
        <f>TRIM(T14)</f>
        <v/>
      </c>
    </row>
    <row r="82" spans="2:20" x14ac:dyDescent="0.35">
      <c r="B82" s="1">
        <v>46215</v>
      </c>
      <c r="C82" t="s">
        <v>12</v>
      </c>
      <c r="D82" t="s">
        <v>13</v>
      </c>
      <c r="E82" t="s">
        <v>76</v>
      </c>
      <c r="F82" t="s">
        <v>77</v>
      </c>
      <c r="G82" t="s">
        <v>84</v>
      </c>
      <c r="H82" t="s">
        <v>82</v>
      </c>
      <c r="I82" t="s">
        <v>83</v>
      </c>
      <c r="J82" t="s">
        <v>81</v>
      </c>
      <c r="K82" t="s">
        <v>87</v>
      </c>
      <c r="L82" t="s">
        <v>80</v>
      </c>
      <c r="M82" t="s">
        <v>85</v>
      </c>
      <c r="N82" t="s">
        <v>86</v>
      </c>
      <c r="O82" t="s">
        <v>78</v>
      </c>
      <c r="P82" t="s">
        <v>79</v>
      </c>
      <c r="T82" t="str">
        <f>TRIM(T16)</f>
        <v/>
      </c>
    </row>
    <row r="83" spans="2:20" x14ac:dyDescent="0.35">
      <c r="B83" s="1">
        <v>46216</v>
      </c>
      <c r="C83" t="s">
        <v>189</v>
      </c>
      <c r="D83" t="s">
        <v>13</v>
      </c>
      <c r="F83" t="s">
        <v>395</v>
      </c>
      <c r="G83" t="s">
        <v>395</v>
      </c>
      <c r="H83" t="s">
        <v>395</v>
      </c>
      <c r="I83" t="s">
        <v>395</v>
      </c>
      <c r="J83" t="s">
        <v>395</v>
      </c>
      <c r="K83" t="s">
        <v>395</v>
      </c>
      <c r="L83" t="s">
        <v>395</v>
      </c>
      <c r="M83" t="s">
        <v>395</v>
      </c>
      <c r="N83" t="s">
        <v>395</v>
      </c>
      <c r="O83" t="s">
        <v>395</v>
      </c>
      <c r="P83" t="s">
        <v>395</v>
      </c>
      <c r="T83" t="str">
        <f>TRIM(T17)</f>
        <v/>
      </c>
    </row>
    <row r="84" spans="2:20" x14ac:dyDescent="0.35">
      <c r="B84" s="1">
        <v>46217</v>
      </c>
      <c r="C84" t="s">
        <v>12</v>
      </c>
      <c r="D84" t="s">
        <v>13</v>
      </c>
      <c r="E84" t="s">
        <v>21</v>
      </c>
      <c r="F84" t="s">
        <v>99</v>
      </c>
      <c r="G84" t="s">
        <v>100</v>
      </c>
      <c r="H84" t="s">
        <v>101</v>
      </c>
      <c r="I84" t="s">
        <v>105</v>
      </c>
      <c r="J84" t="s">
        <v>104</v>
      </c>
      <c r="K84" t="s">
        <v>106</v>
      </c>
      <c r="L84" t="s">
        <v>107</v>
      </c>
      <c r="M84" t="s">
        <v>109</v>
      </c>
      <c r="N84" t="s">
        <v>108</v>
      </c>
      <c r="O84" t="s">
        <v>102</v>
      </c>
      <c r="P84" t="s">
        <v>103</v>
      </c>
      <c r="T84" t="str">
        <f>TRIM(T18)</f>
        <v/>
      </c>
    </row>
    <row r="85" spans="2:20" x14ac:dyDescent="0.35">
      <c r="B85" s="1">
        <v>46218</v>
      </c>
      <c r="C85" t="s">
        <v>249</v>
      </c>
      <c r="D85" t="s">
        <v>13</v>
      </c>
      <c r="E85" t="s">
        <v>268</v>
      </c>
      <c r="F85" t="s">
        <v>395</v>
      </c>
      <c r="G85" t="s">
        <v>395</v>
      </c>
      <c r="H85" t="s">
        <v>395</v>
      </c>
      <c r="I85" t="s">
        <v>395</v>
      </c>
      <c r="J85" t="s">
        <v>395</v>
      </c>
      <c r="K85" t="s">
        <v>395</v>
      </c>
      <c r="L85" t="s">
        <v>395</v>
      </c>
      <c r="M85" t="s">
        <v>395</v>
      </c>
      <c r="N85" t="s">
        <v>395</v>
      </c>
      <c r="O85" t="s">
        <v>395</v>
      </c>
      <c r="P85" t="s">
        <v>395</v>
      </c>
      <c r="T85" t="str">
        <f>TRIM(T19)</f>
        <v/>
      </c>
    </row>
    <row r="86" spans="2:20" x14ac:dyDescent="0.35">
      <c r="B86" s="1">
        <v>46219</v>
      </c>
      <c r="C86" t="s">
        <v>249</v>
      </c>
      <c r="D86" t="s">
        <v>226</v>
      </c>
      <c r="E86" t="s">
        <v>591</v>
      </c>
      <c r="F86" t="s">
        <v>340</v>
      </c>
      <c r="G86" t="s">
        <v>341</v>
      </c>
      <c r="H86" t="s">
        <v>342</v>
      </c>
      <c r="I86" t="s">
        <v>343</v>
      </c>
      <c r="J86" t="s">
        <v>344</v>
      </c>
      <c r="K86" t="s">
        <v>345</v>
      </c>
      <c r="L86" t="s">
        <v>346</v>
      </c>
      <c r="M86" t="s">
        <v>347</v>
      </c>
      <c r="N86" t="s">
        <v>348</v>
      </c>
      <c r="O86" t="s">
        <v>349</v>
      </c>
      <c r="P86" t="s">
        <v>350</v>
      </c>
      <c r="T86" t="str">
        <f>TRIM(T20)</f>
        <v/>
      </c>
    </row>
    <row r="87" spans="2:20" x14ac:dyDescent="0.35">
      <c r="B87" s="1">
        <v>46220</v>
      </c>
      <c r="C87" t="s">
        <v>249</v>
      </c>
      <c r="D87" t="s">
        <v>13</v>
      </c>
      <c r="E87" t="s">
        <v>591</v>
      </c>
      <c r="F87" t="s">
        <v>496</v>
      </c>
      <c r="G87" t="s">
        <v>497</v>
      </c>
      <c r="H87" t="s">
        <v>498</v>
      </c>
      <c r="I87" t="s">
        <v>255</v>
      </c>
      <c r="J87" t="s">
        <v>499</v>
      </c>
      <c r="K87" t="s">
        <v>500</v>
      </c>
      <c r="L87" t="s">
        <v>501</v>
      </c>
      <c r="M87" t="s">
        <v>502</v>
      </c>
      <c r="N87" t="s">
        <v>503</v>
      </c>
      <c r="O87" t="s">
        <v>504</v>
      </c>
      <c r="P87" t="s">
        <v>505</v>
      </c>
      <c r="T87" t="e">
        <f>TRIM(#REF!)</f>
        <v>#REF!</v>
      </c>
    </row>
    <row r="88" spans="2:20" x14ac:dyDescent="0.35">
      <c r="B88" s="1">
        <v>46221</v>
      </c>
      <c r="C88" t="s">
        <v>12</v>
      </c>
      <c r="D88" t="s">
        <v>13</v>
      </c>
      <c r="E88" t="s">
        <v>15</v>
      </c>
      <c r="F88" t="s">
        <v>66</v>
      </c>
      <c r="G88" t="s">
        <v>67</v>
      </c>
      <c r="H88" t="s">
        <v>68</v>
      </c>
      <c r="I88" t="s">
        <v>69</v>
      </c>
      <c r="J88" t="s">
        <v>73</v>
      </c>
      <c r="K88" t="s">
        <v>74</v>
      </c>
      <c r="L88" t="s">
        <v>70</v>
      </c>
      <c r="M88" t="s">
        <v>71</v>
      </c>
      <c r="N88" t="s">
        <v>75</v>
      </c>
      <c r="O88" t="s">
        <v>72</v>
      </c>
      <c r="P88" t="s">
        <v>65</v>
      </c>
      <c r="T88" t="str">
        <f>TRIM(T24)</f>
        <v/>
      </c>
    </row>
    <row r="89" spans="2:20" x14ac:dyDescent="0.35">
      <c r="B89" s="1">
        <v>46222</v>
      </c>
      <c r="C89" t="s">
        <v>189</v>
      </c>
      <c r="D89" t="s">
        <v>716</v>
      </c>
      <c r="E89" t="s">
        <v>190</v>
      </c>
      <c r="F89" t="s">
        <v>191</v>
      </c>
      <c r="G89" t="s">
        <v>192</v>
      </c>
      <c r="H89" t="s">
        <v>193</v>
      </c>
      <c r="I89" t="s">
        <v>194</v>
      </c>
      <c r="J89" t="s">
        <v>195</v>
      </c>
      <c r="K89" t="s">
        <v>196</v>
      </c>
      <c r="L89" t="s">
        <v>200</v>
      </c>
      <c r="M89" t="s">
        <v>201</v>
      </c>
      <c r="N89" t="s">
        <v>199</v>
      </c>
      <c r="O89" t="s">
        <v>197</v>
      </c>
      <c r="P89" t="s">
        <v>198</v>
      </c>
      <c r="T89" t="str">
        <f>TRIM(T26)</f>
        <v/>
      </c>
    </row>
    <row r="90" spans="2:20" x14ac:dyDescent="0.35">
      <c r="B90" s="1"/>
      <c r="C90" t="s">
        <v>591</v>
      </c>
      <c r="D90" t="s">
        <v>13</v>
      </c>
      <c r="E90" t="s">
        <v>594</v>
      </c>
      <c r="T90" t="str">
        <f>TRIM(T27)</f>
        <v/>
      </c>
    </row>
    <row r="91" spans="2:20" x14ac:dyDescent="0.35">
      <c r="B91" s="1"/>
      <c r="C91" t="s">
        <v>591</v>
      </c>
      <c r="D91" t="s">
        <v>226</v>
      </c>
      <c r="E91" t="s">
        <v>597</v>
      </c>
      <c r="T91" t="e">
        <f>TRIM(#REF!)</f>
        <v>#REF!</v>
      </c>
    </row>
    <row r="92" spans="2:20" x14ac:dyDescent="0.35">
      <c r="B92" s="1"/>
      <c r="C92" t="s">
        <v>591</v>
      </c>
      <c r="D92" t="s">
        <v>13</v>
      </c>
      <c r="E92" t="s">
        <v>596</v>
      </c>
      <c r="T92" t="e">
        <f>TRIM(#REF!)</f>
        <v>#REF!</v>
      </c>
    </row>
    <row r="93" spans="2:20" x14ac:dyDescent="0.35">
      <c r="T93" t="str">
        <f>TRIM(T31)</f>
        <v/>
      </c>
    </row>
    <row r="94" spans="2:20" x14ac:dyDescent="0.35">
      <c r="T94" t="str">
        <f>TRIM(T32)</f>
        <v/>
      </c>
    </row>
    <row r="95" spans="2:20" x14ac:dyDescent="0.35">
      <c r="T95" t="str">
        <f>TRIM(T33)</f>
        <v/>
      </c>
    </row>
    <row r="96" spans="2:20" x14ac:dyDescent="0.35">
      <c r="T96" t="str">
        <f>TRIM(T34)</f>
        <v/>
      </c>
    </row>
    <row r="97" spans="19:20" x14ac:dyDescent="0.35">
      <c r="T97" t="str">
        <f>TRIM(T35)</f>
        <v/>
      </c>
    </row>
    <row r="98" spans="19:20" x14ac:dyDescent="0.35">
      <c r="T98" t="str">
        <f>TRIM(T37)</f>
        <v/>
      </c>
    </row>
    <row r="99" spans="19:20" x14ac:dyDescent="0.35">
      <c r="T99" t="str">
        <f>TRIM(T38)</f>
        <v/>
      </c>
    </row>
    <row r="100" spans="19:20" x14ac:dyDescent="0.35">
      <c r="T100" t="e">
        <f>TRIM(#REF!)</f>
        <v>#REF!</v>
      </c>
    </row>
    <row r="102" spans="19:20" x14ac:dyDescent="0.35">
      <c r="T102" t="e">
        <f>TRIM(#REF!)</f>
        <v>#REF!</v>
      </c>
    </row>
    <row r="103" spans="19:20" x14ac:dyDescent="0.35">
      <c r="T103" t="str">
        <f>TRIM(T40)</f>
        <v/>
      </c>
    </row>
    <row r="104" spans="19:20" x14ac:dyDescent="0.35">
      <c r="T104" t="str">
        <f>TRIM(T41)</f>
        <v/>
      </c>
    </row>
    <row r="105" spans="19:20" x14ac:dyDescent="0.35">
      <c r="T105" t="str">
        <f>TRIM(T42)</f>
        <v/>
      </c>
    </row>
    <row r="106" spans="19:20" x14ac:dyDescent="0.35">
      <c r="T106" t="str">
        <f>TRIM(T43)</f>
        <v/>
      </c>
    </row>
    <row r="107" spans="19:20" x14ac:dyDescent="0.35">
      <c r="T107" t="str">
        <f>TRIM(T44)</f>
        <v/>
      </c>
    </row>
    <row r="108" spans="19:20" x14ac:dyDescent="0.35">
      <c r="T108" t="str">
        <f>TRIM(T45)</f>
        <v/>
      </c>
    </row>
    <row r="109" spans="19:20" x14ac:dyDescent="0.35">
      <c r="T109" t="str">
        <f>TRIM(T46)</f>
        <v/>
      </c>
    </row>
    <row r="110" spans="19:20" x14ac:dyDescent="0.35">
      <c r="S110" t="str">
        <f>TRIM(T47)</f>
        <v/>
      </c>
    </row>
    <row r="111" spans="19:20" x14ac:dyDescent="0.35">
      <c r="S111" t="str">
        <f>TRIM(T48)</f>
        <v/>
      </c>
    </row>
    <row r="112" spans="19:20" x14ac:dyDescent="0.35">
      <c r="S112" t="str">
        <f>TRIM(T49)</f>
        <v/>
      </c>
    </row>
    <row r="113" spans="19:19" x14ac:dyDescent="0.35">
      <c r="S113" t="str">
        <f>TRIM(T50)</f>
        <v/>
      </c>
    </row>
    <row r="114" spans="19:19" x14ac:dyDescent="0.35">
      <c r="S114" t="str">
        <f>TRIM(T51)</f>
        <v/>
      </c>
    </row>
    <row r="115" spans="19:19" x14ac:dyDescent="0.35">
      <c r="S115" t="str">
        <f>TRIM(T52)</f>
        <v/>
      </c>
    </row>
    <row r="116" spans="19:19" x14ac:dyDescent="0.35">
      <c r="S116" t="str">
        <f>TRIM(T53)</f>
        <v/>
      </c>
    </row>
    <row r="117" spans="19:19" x14ac:dyDescent="0.35">
      <c r="S117" t="str">
        <f>TRIM(T54)</f>
        <v/>
      </c>
    </row>
    <row r="118" spans="19:19" x14ac:dyDescent="0.35">
      <c r="S118" t="str">
        <f>TRIM(T55)</f>
        <v/>
      </c>
    </row>
    <row r="119" spans="19:19" x14ac:dyDescent="0.35">
      <c r="S119" t="str">
        <f>TRIM(T56)</f>
        <v/>
      </c>
    </row>
    <row r="120" spans="19:19" x14ac:dyDescent="0.35">
      <c r="S120" t="str">
        <f>TRIM(T57)</f>
        <v/>
      </c>
    </row>
    <row r="121" spans="19:19" x14ac:dyDescent="0.35">
      <c r="S121" t="str">
        <f>TRIM(T58)</f>
        <v/>
      </c>
    </row>
    <row r="122" spans="19:19" x14ac:dyDescent="0.35">
      <c r="S122" t="str">
        <f>TRIM(T67)</f>
        <v/>
      </c>
    </row>
    <row r="123" spans="19:19" x14ac:dyDescent="0.35">
      <c r="S123" t="e">
        <f>TRIM(#REF!)</f>
        <v>#REF!</v>
      </c>
    </row>
    <row r="124" spans="19:19" x14ac:dyDescent="0.35">
      <c r="S124" t="e">
        <f>TRIM(#REF!)</f>
        <v>#REF!</v>
      </c>
    </row>
    <row r="125" spans="19:19" x14ac:dyDescent="0.35">
      <c r="S125" t="str">
        <f>TRIM(T72)</f>
        <v/>
      </c>
    </row>
    <row r="126" spans="19:19" x14ac:dyDescent="0.35">
      <c r="S126" t="e">
        <f>TRIM(#REF!)</f>
        <v>#REF!</v>
      </c>
    </row>
    <row r="127" spans="19:19" x14ac:dyDescent="0.35">
      <c r="S127" t="str">
        <f>TRIM(T73)</f>
        <v/>
      </c>
    </row>
    <row r="128" spans="19:19" x14ac:dyDescent="0.35">
      <c r="S128" t="str">
        <f>TRIM(T74)</f>
        <v/>
      </c>
    </row>
    <row r="129" spans="19:19" x14ac:dyDescent="0.35">
      <c r="S129" t="e">
        <f>TRIM(#REF!)</f>
        <v>#REF!</v>
      </c>
    </row>
    <row r="130" spans="19:19" x14ac:dyDescent="0.35">
      <c r="S130" t="str">
        <f>TRIM(T75)</f>
        <v/>
      </c>
    </row>
    <row r="131" spans="19:19" x14ac:dyDescent="0.35">
      <c r="S131" t="e">
        <f>TRIM(#REF!)</f>
        <v>#REF!</v>
      </c>
    </row>
    <row r="132" spans="19:19" x14ac:dyDescent="0.35">
      <c r="S132" t="str">
        <f>TRIM(T76)</f>
        <v/>
      </c>
    </row>
    <row r="133" spans="19:19" x14ac:dyDescent="0.35">
      <c r="S133" t="e">
        <f>TRIM(#REF!)</f>
        <v>#REF!</v>
      </c>
    </row>
    <row r="134" spans="19:19" x14ac:dyDescent="0.35">
      <c r="S134" t="e">
        <f>TRIM(T77)</f>
        <v>#REF!</v>
      </c>
    </row>
    <row r="135" spans="19:19" x14ac:dyDescent="0.35">
      <c r="S135" t="e">
        <f>TRIM(#REF!)</f>
        <v>#REF!</v>
      </c>
    </row>
    <row r="136" spans="19:19" x14ac:dyDescent="0.35">
      <c r="S136" t="str">
        <f>TRIM(T78)</f>
        <v/>
      </c>
    </row>
    <row r="137" spans="19:19" x14ac:dyDescent="0.35">
      <c r="S137" t="e">
        <f>TRIM(#REF!)</f>
        <v>#REF!</v>
      </c>
    </row>
    <row r="138" spans="19:19" x14ac:dyDescent="0.35">
      <c r="S138" t="str">
        <f>TRIM(T79)</f>
        <v/>
      </c>
    </row>
    <row r="139" spans="19:19" x14ac:dyDescent="0.35">
      <c r="S139" t="e">
        <f>TRIM(#REF!)</f>
        <v>#REF!</v>
      </c>
    </row>
    <row r="140" spans="19:19" x14ac:dyDescent="0.35">
      <c r="S140" t="str">
        <f>TRIM(T80)</f>
        <v/>
      </c>
    </row>
    <row r="141" spans="19:19" x14ac:dyDescent="0.35">
      <c r="S141" t="str">
        <f>TRIM(T81)</f>
        <v/>
      </c>
    </row>
    <row r="142" spans="19:19" x14ac:dyDescent="0.35">
      <c r="S142" t="e">
        <f>TRIM(#REF!)</f>
        <v>#REF!</v>
      </c>
    </row>
    <row r="143" spans="19:19" x14ac:dyDescent="0.35">
      <c r="S143" t="str">
        <f>TRIM(T82)</f>
        <v/>
      </c>
    </row>
    <row r="144" spans="19:19" x14ac:dyDescent="0.35">
      <c r="S144" t="str">
        <f>TRIM(T83)</f>
        <v/>
      </c>
    </row>
    <row r="145" spans="19:19" x14ac:dyDescent="0.35">
      <c r="S145" t="str">
        <f>TRIM(T84)</f>
        <v/>
      </c>
    </row>
    <row r="146" spans="19:19" x14ac:dyDescent="0.35">
      <c r="S146" t="str">
        <f>TRIM(T85)</f>
        <v/>
      </c>
    </row>
    <row r="147" spans="19:19" x14ac:dyDescent="0.35">
      <c r="S147" t="str">
        <f>TRIM(T86)</f>
        <v/>
      </c>
    </row>
    <row r="148" spans="19:19" x14ac:dyDescent="0.35">
      <c r="S148" t="e">
        <f>TRIM(T87)</f>
        <v>#REF!</v>
      </c>
    </row>
    <row r="149" spans="19:19" x14ac:dyDescent="0.35">
      <c r="S149" t="e">
        <f>TRIM(#REF!)</f>
        <v>#REF!</v>
      </c>
    </row>
    <row r="150" spans="19:19" x14ac:dyDescent="0.35">
      <c r="S150" t="e">
        <f>TRIM(#REF!)</f>
        <v>#REF!</v>
      </c>
    </row>
    <row r="151" spans="19:19" x14ac:dyDescent="0.35">
      <c r="S151" t="e">
        <f>TRIM(#REF!)</f>
        <v>#REF!</v>
      </c>
    </row>
    <row r="152" spans="19:19" x14ac:dyDescent="0.35">
      <c r="S152" t="str">
        <f>TRIM(T88)</f>
        <v/>
      </c>
    </row>
    <row r="153" spans="19:19" x14ac:dyDescent="0.35">
      <c r="S153" t="e">
        <f>TRIM(#REF!)</f>
        <v>#REF!</v>
      </c>
    </row>
    <row r="154" spans="19:19" x14ac:dyDescent="0.35">
      <c r="S154" t="str">
        <f>TRIM(T89)</f>
        <v/>
      </c>
    </row>
    <row r="155" spans="19:19" x14ac:dyDescent="0.35">
      <c r="S155" t="str">
        <f>TRIM(T90)</f>
        <v/>
      </c>
    </row>
    <row r="156" spans="19:19" x14ac:dyDescent="0.35">
      <c r="S156" t="e">
        <f>TRIM(T91)</f>
        <v>#REF!</v>
      </c>
    </row>
    <row r="157" spans="19:19" x14ac:dyDescent="0.35">
      <c r="S157" t="e">
        <f>TRIM(T92)</f>
        <v>#REF!</v>
      </c>
    </row>
    <row r="158" spans="19:19" x14ac:dyDescent="0.35">
      <c r="S158" t="e">
        <f>TRIM(#REF!)</f>
        <v>#REF!</v>
      </c>
    </row>
    <row r="159" spans="19:19" x14ac:dyDescent="0.35">
      <c r="S159" t="e">
        <f>TRIM(#REF!)</f>
        <v>#REF!</v>
      </c>
    </row>
    <row r="160" spans="19:19" x14ac:dyDescent="0.35">
      <c r="S160" t="str">
        <f>TRIM(T93)</f>
        <v/>
      </c>
    </row>
    <row r="161" spans="19:19" x14ac:dyDescent="0.35">
      <c r="S161" t="str">
        <f>TRIM(T94)</f>
        <v/>
      </c>
    </row>
    <row r="162" spans="19:19" x14ac:dyDescent="0.35">
      <c r="S162" t="str">
        <f>TRIM(T95)</f>
        <v/>
      </c>
    </row>
    <row r="163" spans="19:19" x14ac:dyDescent="0.35">
      <c r="S163" t="str">
        <f>TRIM(T96)</f>
        <v/>
      </c>
    </row>
    <row r="164" spans="19:19" x14ac:dyDescent="0.35">
      <c r="S164" t="str">
        <f>TRIM(T97)</f>
        <v/>
      </c>
    </row>
    <row r="165" spans="19:19" x14ac:dyDescent="0.35">
      <c r="S165" t="str">
        <f>TRIM(T98)</f>
        <v/>
      </c>
    </row>
    <row r="166" spans="19:19" x14ac:dyDescent="0.35">
      <c r="S166" t="str">
        <f>TRIM(T99)</f>
        <v/>
      </c>
    </row>
    <row r="167" spans="19:19" x14ac:dyDescent="0.35">
      <c r="S167" t="e">
        <f>TRIM(T100)</f>
        <v>#REF!</v>
      </c>
    </row>
    <row r="168" spans="19:19" x14ac:dyDescent="0.35">
      <c r="S168" t="str">
        <f>TRIM(T101)</f>
        <v/>
      </c>
    </row>
    <row r="169" spans="19:19" x14ac:dyDescent="0.35">
      <c r="S169" t="e">
        <f>TRIM(T102)</f>
        <v>#REF!</v>
      </c>
    </row>
    <row r="170" spans="19:19" x14ac:dyDescent="0.35">
      <c r="S170" t="str">
        <f>TRIM(T103)</f>
        <v/>
      </c>
    </row>
    <row r="171" spans="19:19" x14ac:dyDescent="0.35">
      <c r="S171" t="str">
        <f>TRIM(T104)</f>
        <v/>
      </c>
    </row>
    <row r="172" spans="19:19" x14ac:dyDescent="0.35">
      <c r="S172" t="str">
        <f>TRIM(T105)</f>
        <v/>
      </c>
    </row>
    <row r="173" spans="19:19" x14ac:dyDescent="0.35">
      <c r="S173" t="str">
        <f>TRIM(T106)</f>
        <v/>
      </c>
    </row>
    <row r="174" spans="19:19" x14ac:dyDescent="0.35">
      <c r="S174" t="str">
        <f>TRIM(T107)</f>
        <v/>
      </c>
    </row>
    <row r="175" spans="19:19" x14ac:dyDescent="0.35">
      <c r="S175" t="str">
        <f>TRIM(T108)</f>
        <v/>
      </c>
    </row>
    <row r="176" spans="19:19" x14ac:dyDescent="0.35">
      <c r="S176" t="str">
        <f>TRIM(T109)</f>
        <v/>
      </c>
    </row>
    <row r="177" spans="19:19" x14ac:dyDescent="0.35">
      <c r="S177" t="str">
        <f t="shared" ref="S177:S182" si="0">TRIM(S110)</f>
        <v/>
      </c>
    </row>
    <row r="178" spans="19:19" x14ac:dyDescent="0.35">
      <c r="S178" t="str">
        <f t="shared" si="0"/>
        <v/>
      </c>
    </row>
    <row r="179" spans="19:19" x14ac:dyDescent="0.35">
      <c r="S179" t="str">
        <f t="shared" si="0"/>
        <v/>
      </c>
    </row>
    <row r="180" spans="19:19" x14ac:dyDescent="0.35">
      <c r="S180" t="str">
        <f t="shared" si="0"/>
        <v/>
      </c>
    </row>
    <row r="181" spans="19:19" x14ac:dyDescent="0.35">
      <c r="S181" t="str">
        <f t="shared" si="0"/>
        <v/>
      </c>
    </row>
    <row r="182" spans="19:19" x14ac:dyDescent="0.35">
      <c r="S182" t="str">
        <f t="shared" si="0"/>
        <v/>
      </c>
    </row>
    <row r="226" spans="5:15" x14ac:dyDescent="0.35">
      <c r="E226" t="str">
        <f t="shared" ref="E226:O226" si="1">TRIM(E159)</f>
        <v/>
      </c>
      <c r="F226" t="str">
        <f t="shared" si="1"/>
        <v/>
      </c>
      <c r="G226" t="str">
        <f t="shared" si="1"/>
        <v/>
      </c>
      <c r="H226" t="str">
        <f t="shared" si="1"/>
        <v/>
      </c>
      <c r="I226" t="str">
        <f t="shared" si="1"/>
        <v/>
      </c>
      <c r="J226" t="str">
        <f t="shared" si="1"/>
        <v/>
      </c>
      <c r="K226" t="str">
        <f t="shared" si="1"/>
        <v/>
      </c>
      <c r="L226" t="str">
        <f t="shared" si="1"/>
        <v/>
      </c>
      <c r="M226" t="str">
        <f t="shared" si="1"/>
        <v/>
      </c>
      <c r="N226" t="str">
        <f t="shared" si="1"/>
        <v/>
      </c>
      <c r="O226" t="str">
        <f t="shared" si="1"/>
        <v/>
      </c>
    </row>
    <row r="227" spans="5:15" x14ac:dyDescent="0.35">
      <c r="E227" t="str">
        <f t="shared" ref="E227:O227" si="2">TRIM(E160)</f>
        <v/>
      </c>
      <c r="F227" t="str">
        <f t="shared" si="2"/>
        <v/>
      </c>
      <c r="G227" t="str">
        <f t="shared" si="2"/>
        <v/>
      </c>
      <c r="H227" t="str">
        <f t="shared" si="2"/>
        <v/>
      </c>
      <c r="I227" t="str">
        <f t="shared" si="2"/>
        <v/>
      </c>
      <c r="J227" t="str">
        <f t="shared" si="2"/>
        <v/>
      </c>
      <c r="K227" t="str">
        <f t="shared" si="2"/>
        <v/>
      </c>
      <c r="L227" t="str">
        <f t="shared" si="2"/>
        <v/>
      </c>
      <c r="M227" t="str">
        <f t="shared" si="2"/>
        <v/>
      </c>
      <c r="N227" t="str">
        <f t="shared" si="2"/>
        <v/>
      </c>
      <c r="O227" t="str">
        <f t="shared" si="2"/>
        <v/>
      </c>
    </row>
    <row r="228" spans="5:15" x14ac:dyDescent="0.35">
      <c r="E228" t="str">
        <f t="shared" ref="E228:O228" si="3">TRIM(E161)</f>
        <v/>
      </c>
      <c r="F228" t="str">
        <f t="shared" si="3"/>
        <v/>
      </c>
      <c r="G228" t="str">
        <f t="shared" si="3"/>
        <v/>
      </c>
      <c r="H228" t="str">
        <f t="shared" si="3"/>
        <v/>
      </c>
      <c r="I228" t="str">
        <f t="shared" si="3"/>
        <v/>
      </c>
      <c r="J228" t="str">
        <f t="shared" si="3"/>
        <v/>
      </c>
      <c r="K228" t="str">
        <f t="shared" si="3"/>
        <v/>
      </c>
      <c r="L228" t="str">
        <f t="shared" si="3"/>
        <v/>
      </c>
      <c r="M228" t="str">
        <f t="shared" si="3"/>
        <v/>
      </c>
      <c r="N228" t="str">
        <f t="shared" si="3"/>
        <v/>
      </c>
      <c r="O228" t="str">
        <f t="shared" si="3"/>
        <v/>
      </c>
    </row>
    <row r="229" spans="5:15" x14ac:dyDescent="0.35">
      <c r="E229" t="str">
        <f t="shared" ref="E229:O229" si="4">TRIM(E162)</f>
        <v/>
      </c>
      <c r="F229" t="str">
        <f t="shared" si="4"/>
        <v/>
      </c>
      <c r="G229" t="str">
        <f t="shared" si="4"/>
        <v/>
      </c>
      <c r="H229" t="str">
        <f t="shared" si="4"/>
        <v/>
      </c>
      <c r="I229" t="str">
        <f t="shared" si="4"/>
        <v/>
      </c>
      <c r="J229" t="str">
        <f t="shared" si="4"/>
        <v/>
      </c>
      <c r="K229" t="str">
        <f t="shared" si="4"/>
        <v/>
      </c>
      <c r="L229" t="str">
        <f t="shared" si="4"/>
        <v/>
      </c>
      <c r="M229" t="str">
        <f t="shared" si="4"/>
        <v/>
      </c>
      <c r="N229" t="str">
        <f t="shared" si="4"/>
        <v/>
      </c>
      <c r="O229" t="str">
        <f t="shared" si="4"/>
        <v/>
      </c>
    </row>
    <row r="230" spans="5:15" x14ac:dyDescent="0.35">
      <c r="E230" t="str">
        <f t="shared" ref="E230:O230" si="5">TRIM(E163)</f>
        <v/>
      </c>
      <c r="F230" t="str">
        <f t="shared" si="5"/>
        <v/>
      </c>
      <c r="G230" t="str">
        <f t="shared" si="5"/>
        <v/>
      </c>
      <c r="H230" t="str">
        <f t="shared" si="5"/>
        <v/>
      </c>
      <c r="I230" t="str">
        <f t="shared" si="5"/>
        <v/>
      </c>
      <c r="J230" t="str">
        <f t="shared" si="5"/>
        <v/>
      </c>
      <c r="K230" t="str">
        <f t="shared" si="5"/>
        <v/>
      </c>
      <c r="L230" t="str">
        <f t="shared" si="5"/>
        <v/>
      </c>
      <c r="M230" t="str">
        <f t="shared" si="5"/>
        <v/>
      </c>
      <c r="N230" t="str">
        <f t="shared" si="5"/>
        <v/>
      </c>
      <c r="O230" t="str">
        <f t="shared" si="5"/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Lawrence</dc:creator>
  <cp:lastModifiedBy>Kurt Lawrence</cp:lastModifiedBy>
  <dcterms:created xsi:type="dcterms:W3CDTF">2026-04-09T16:48:47Z</dcterms:created>
  <dcterms:modified xsi:type="dcterms:W3CDTF">2026-04-19T21:45:44Z</dcterms:modified>
</cp:coreProperties>
</file>