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rtl\Desktop\statstreaks\"/>
    </mc:Choice>
  </mc:AlternateContent>
  <xr:revisionPtr revIDLastSave="0" documentId="13_ncr:1_{01E8FB4C-49AB-4D47-8A2D-7772D36FC0CB}" xr6:coauthVersionLast="47" xr6:coauthVersionMax="47" xr10:uidLastSave="{00000000-0000-0000-0000-000000000000}"/>
  <bookViews>
    <workbookView xWindow="-110" yWindow="-110" windowWidth="19420" windowHeight="10300" xr2:uid="{09488A7D-DFB6-4DD5-964F-0B9C4180CBFA}"/>
  </bookViews>
  <sheets>
    <sheet name="Mine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37" i="3" l="1"/>
  <c r="J237" i="3"/>
  <c r="I237" i="3"/>
  <c r="O236" i="3"/>
  <c r="M236" i="3"/>
  <c r="L236" i="3"/>
  <c r="K236" i="3"/>
  <c r="P235" i="3"/>
  <c r="N235" i="3"/>
  <c r="M235" i="3"/>
  <c r="P234" i="3"/>
  <c r="O234" i="3"/>
  <c r="T167" i="3"/>
  <c r="T135" i="3"/>
  <c r="T134" i="3"/>
  <c r="T133" i="3"/>
  <c r="T132" i="3"/>
  <c r="T131" i="3"/>
  <c r="T130" i="3"/>
  <c r="T129" i="3"/>
  <c r="T128" i="3"/>
  <c r="T127" i="3"/>
  <c r="T126" i="3"/>
  <c r="T125" i="3"/>
  <c r="T124" i="3"/>
  <c r="T123" i="3"/>
  <c r="T122" i="3"/>
  <c r="T189" i="3" s="1"/>
  <c r="P237" i="3"/>
  <c r="O237" i="3"/>
  <c r="N237" i="3"/>
  <c r="M237" i="3"/>
  <c r="L237" i="3"/>
  <c r="H237" i="3"/>
  <c r="G237" i="3"/>
  <c r="T121" i="3"/>
  <c r="T188" i="3" s="1"/>
  <c r="P236" i="3"/>
  <c r="N236" i="3"/>
  <c r="J236" i="3"/>
  <c r="I236" i="3"/>
  <c r="H236" i="3"/>
  <c r="G236" i="3"/>
  <c r="T120" i="3"/>
  <c r="T187" i="3" s="1"/>
  <c r="O235" i="3"/>
  <c r="L235" i="3"/>
  <c r="K235" i="3"/>
  <c r="J235" i="3"/>
  <c r="I235" i="3"/>
  <c r="H235" i="3"/>
  <c r="G235" i="3"/>
  <c r="T119" i="3"/>
  <c r="T186" i="3" s="1"/>
  <c r="N234" i="3"/>
  <c r="M234" i="3"/>
  <c r="L234" i="3"/>
  <c r="K234" i="3"/>
  <c r="J234" i="3"/>
  <c r="I234" i="3"/>
  <c r="H234" i="3"/>
  <c r="G234" i="3"/>
  <c r="T118" i="3"/>
  <c r="T185" i="3" s="1"/>
  <c r="P233" i="3"/>
  <c r="O233" i="3"/>
  <c r="N233" i="3"/>
  <c r="M233" i="3"/>
  <c r="L233" i="3"/>
  <c r="K233" i="3"/>
  <c r="J233" i="3"/>
  <c r="I233" i="3"/>
  <c r="H233" i="3"/>
  <c r="G233" i="3"/>
  <c r="T117" i="3"/>
  <c r="T184" i="3" s="1"/>
  <c r="T116" i="3"/>
  <c r="T183" i="3" s="1"/>
  <c r="T115" i="3"/>
  <c r="T182" i="3" s="1"/>
  <c r="T114" i="3"/>
  <c r="T181" i="3" s="1"/>
  <c r="T113" i="3"/>
  <c r="T180" i="3" s="1"/>
  <c r="T112" i="3"/>
  <c r="T179" i="3" s="1"/>
  <c r="T111" i="3"/>
  <c r="T178" i="3" s="1"/>
  <c r="T110" i="3"/>
  <c r="T177" i="3" s="1"/>
  <c r="T109" i="3"/>
  <c r="T176" i="3" s="1"/>
  <c r="T108" i="3"/>
  <c r="T175" i="3" s="1"/>
  <c r="T107" i="3"/>
  <c r="T174" i="3" s="1"/>
  <c r="T106" i="3"/>
  <c r="T173" i="3" s="1"/>
  <c r="T105" i="3"/>
  <c r="T172" i="3" s="1"/>
  <c r="T104" i="3"/>
  <c r="T171" i="3" s="1"/>
  <c r="T103" i="3"/>
  <c r="T170" i="3" s="1"/>
  <c r="T102" i="3"/>
  <c r="T169" i="3" s="1"/>
  <c r="T101" i="3"/>
  <c r="T168" i="3" s="1"/>
  <c r="T100" i="3"/>
  <c r="T99" i="3"/>
  <c r="T166" i="3" s="1"/>
  <c r="T98" i="3"/>
  <c r="T165" i="3" s="1"/>
  <c r="T97" i="3"/>
  <c r="T164" i="3" s="1"/>
  <c r="T96" i="3"/>
  <c r="T163" i="3" s="1"/>
  <c r="T95" i="3"/>
  <c r="T162" i="3" s="1"/>
  <c r="T94" i="3"/>
  <c r="T161" i="3" s="1"/>
  <c r="T93" i="3"/>
  <c r="T160" i="3" s="1"/>
  <c r="T92" i="3"/>
  <c r="T159" i="3" s="1"/>
  <c r="T91" i="3"/>
  <c r="T158" i="3" s="1"/>
  <c r="T90" i="3"/>
  <c r="T157" i="3" s="1"/>
  <c r="T89" i="3"/>
  <c r="T156" i="3" s="1"/>
  <c r="T88" i="3"/>
  <c r="T155" i="3" s="1"/>
  <c r="T87" i="3"/>
  <c r="T154" i="3" s="1"/>
  <c r="T86" i="3"/>
  <c r="T153" i="3" s="1"/>
  <c r="T85" i="3"/>
  <c r="T152" i="3" s="1"/>
  <c r="T84" i="3"/>
  <c r="T151" i="3" s="1"/>
  <c r="T83" i="3"/>
  <c r="T150" i="3" s="1"/>
  <c r="T82" i="3"/>
  <c r="T149" i="3" s="1"/>
  <c r="T81" i="3"/>
  <c r="T148" i="3" s="1"/>
  <c r="T80" i="3"/>
  <c r="T147" i="3" s="1"/>
  <c r="T79" i="3"/>
  <c r="T146" i="3" s="1"/>
  <c r="T78" i="3"/>
  <c r="T145" i="3" s="1"/>
  <c r="T77" i="3"/>
  <c r="T144" i="3" s="1"/>
  <c r="T76" i="3"/>
  <c r="T143" i="3" s="1"/>
  <c r="T75" i="3"/>
  <c r="T142" i="3" s="1"/>
  <c r="T74" i="3"/>
  <c r="T141" i="3" s="1"/>
  <c r="T73" i="3"/>
  <c r="T140" i="3" s="1"/>
  <c r="T72" i="3"/>
  <c r="T139" i="3" s="1"/>
  <c r="T71" i="3"/>
  <c r="T138" i="3" s="1"/>
  <c r="T70" i="3"/>
  <c r="T137" i="3" s="1"/>
  <c r="T69" i="3"/>
  <c r="T136" i="3" s="1"/>
  <c r="F237" i="3"/>
  <c r="F236" i="3"/>
  <c r="F235" i="3"/>
  <c r="F234" i="3"/>
  <c r="F233" i="3"/>
</calcChain>
</file>

<file path=xl/sharedStrings.xml><?xml version="1.0" encoding="utf-8"?>
<sst xmlns="http://schemas.openxmlformats.org/spreadsheetml/2006/main" count="985" uniqueCount="605">
  <si>
    <t>#</t>
  </si>
  <si>
    <t>Stat</t>
  </si>
  <si>
    <t>Player 1</t>
  </si>
  <si>
    <t>Player 2</t>
  </si>
  <si>
    <t>Player 3</t>
  </si>
  <si>
    <t>Player 4</t>
  </si>
  <si>
    <t>Player 5</t>
  </si>
  <si>
    <t>Player 6</t>
  </si>
  <si>
    <t>Player 7</t>
  </si>
  <si>
    <t>Player 8</t>
  </si>
  <si>
    <t>Player 9</t>
  </si>
  <si>
    <t>Player 10</t>
  </si>
  <si>
    <t>Player 11</t>
  </si>
  <si>
    <t>PL</t>
  </si>
  <si>
    <t>Goals</t>
  </si>
  <si>
    <t>Theme</t>
  </si>
  <si>
    <t>French legends</t>
  </si>
  <si>
    <t>German legends</t>
  </si>
  <si>
    <t>Spanish legends</t>
  </si>
  <si>
    <t>Dutch legends</t>
  </si>
  <si>
    <t>Portuguese legends</t>
  </si>
  <si>
    <t>Argentinian legends</t>
  </si>
  <si>
    <t>Brazilian legends</t>
  </si>
  <si>
    <t>African legends</t>
  </si>
  <si>
    <t>Santi Cazorla - 25</t>
  </si>
  <si>
    <t>Marcos Alonso - 26</t>
  </si>
  <si>
    <t>Alvaro Morata - 16</t>
  </si>
  <si>
    <t>Mikel Arteta - 41</t>
  </si>
  <si>
    <t>Pedro - 29</t>
  </si>
  <si>
    <t>Cesc Fabregas - 50</t>
  </si>
  <si>
    <t>Juan Mata - 52</t>
  </si>
  <si>
    <t>David Silva - 60</t>
  </si>
  <si>
    <t>Xabi Alonso - 14</t>
  </si>
  <si>
    <t>Diego Costa - 53</t>
  </si>
  <si>
    <t>Bruno Fernandes - 67</t>
  </si>
  <si>
    <t>Ricardo Carvahlo - 7</t>
  </si>
  <si>
    <t>Nani - 29</t>
  </si>
  <si>
    <t>Raul Meireles - 7</t>
  </si>
  <si>
    <t>Cristiano Ronaldo - 103</t>
  </si>
  <si>
    <t>Ruben Neves - 21</t>
  </si>
  <si>
    <t>Diogo Jota - 63</t>
  </si>
  <si>
    <t>Bernado Silva - 43</t>
  </si>
  <si>
    <t>Luis BoaMorte - 29</t>
  </si>
  <si>
    <t>Joao Felix - 5</t>
  </si>
  <si>
    <t>Jose Bosingwa - 3</t>
  </si>
  <si>
    <t>Italian legends</t>
  </si>
  <si>
    <t>Federico Macheda - 4</t>
  </si>
  <si>
    <t>Jorginho - 21</t>
  </si>
  <si>
    <t>Fabio Borini - 16</t>
  </si>
  <si>
    <t>Roberto Di Matteo - 15</t>
  </si>
  <si>
    <t>Gianfranco Zola - 59</t>
  </si>
  <si>
    <t>Paolo Di Canio - 66</t>
  </si>
  <si>
    <t>Benito Carbone - 35</t>
  </si>
  <si>
    <t>Massimo Maccarone - 18</t>
  </si>
  <si>
    <t>Mario Balotelli - 21</t>
  </si>
  <si>
    <t>Fabrizio Ravanelli - 25</t>
  </si>
  <si>
    <t>Graziano Pelle - 23</t>
  </si>
  <si>
    <t>Ilkay Gundogan - 44</t>
  </si>
  <si>
    <t>Kai Havertz - 32</t>
  </si>
  <si>
    <t>Timo Werner - 12</t>
  </si>
  <si>
    <t>Mesut Ozil - 33</t>
  </si>
  <si>
    <t>Leroy Sane - 25</t>
  </si>
  <si>
    <t>Pascal Gros - 30</t>
  </si>
  <si>
    <t>Robert Huth - 21</t>
  </si>
  <si>
    <t>Dietmar Hamann - 12</t>
  </si>
  <si>
    <t>Antonio Rudiger - 9</t>
  </si>
  <si>
    <t>Robert Pires - 62</t>
  </si>
  <si>
    <t>Thierry Henry - 175</t>
  </si>
  <si>
    <t>Djibril Cisse - 32</t>
  </si>
  <si>
    <t>Nicolas Anelka - 125</t>
  </si>
  <si>
    <t>Patrick Vieira - 31</t>
  </si>
  <si>
    <t>Louis Saha - 85</t>
  </si>
  <si>
    <t>Alexandre Lacazette - 54</t>
  </si>
  <si>
    <t>Anthony Martial - 63</t>
  </si>
  <si>
    <t>David Ginola - 21</t>
  </si>
  <si>
    <t>Samir Nasri - 36</t>
  </si>
  <si>
    <t>Steed Malbranque - 39</t>
  </si>
  <si>
    <t>English legends</t>
  </si>
  <si>
    <t>Alan Shearer - 260</t>
  </si>
  <si>
    <t>Paul Scholes - 107</t>
  </si>
  <si>
    <t>Darren Bent - 106</t>
  </si>
  <si>
    <t>Steven Gerrard - 120</t>
  </si>
  <si>
    <t>Robbie Fowler - 163</t>
  </si>
  <si>
    <t>Andrew Cole - 187</t>
  </si>
  <si>
    <t>Peter Crouch - 108</t>
  </si>
  <si>
    <t>Kevin Phillips - 92</t>
  </si>
  <si>
    <t>Jamie Vardy - 136</t>
  </si>
  <si>
    <t>Ian Wright - 113</t>
  </si>
  <si>
    <t>Jermain Defoe - 162</t>
  </si>
  <si>
    <t>Robin van Persioe - 144</t>
  </si>
  <si>
    <t>Dirk Kuyt -51</t>
  </si>
  <si>
    <t>Jimmy Floyd Hasselbaink - 127</t>
  </si>
  <si>
    <t>Rafael van der Vaart - 24</t>
  </si>
  <si>
    <t>Ruud van Nistelrooy - 95</t>
  </si>
  <si>
    <t>Georginio Wijnaldum - 27</t>
  </si>
  <si>
    <t>Dennis Bergkamp - 87</t>
  </si>
  <si>
    <t>Marc Overmars - 25</t>
  </si>
  <si>
    <t>Arjen Robben - 15</t>
  </si>
  <si>
    <t>Virgil van Dijk - 22</t>
  </si>
  <si>
    <t>Nathan Ake - 18</t>
  </si>
  <si>
    <t>David Luiz - 14</t>
  </si>
  <si>
    <t>Gabriel Jesus - 78</t>
  </si>
  <si>
    <t>Juninho - 29</t>
  </si>
  <si>
    <t>Oscar - 21</t>
  </si>
  <si>
    <t>Fernandinho - 20</t>
  </si>
  <si>
    <t>Willian - 47</t>
  </si>
  <si>
    <t>Roberto Firmino - 82</t>
  </si>
  <si>
    <t>Richarlison - 71</t>
  </si>
  <si>
    <t>Philippe Coutinho - 47</t>
  </si>
  <si>
    <t>Raphinha - 17</t>
  </si>
  <si>
    <t>Robinho - 14</t>
  </si>
  <si>
    <t>Fabrizio Coloccini - 4</t>
  </si>
  <si>
    <t>Julian Alvarez - 20</t>
  </si>
  <si>
    <t>Carlos Tevez - 84</t>
  </si>
  <si>
    <t>Alexis MacAllister - 21</t>
  </si>
  <si>
    <t>Pablo Zabaleta - 9</t>
  </si>
  <si>
    <t>Gonzalo Higuain - 5</t>
  </si>
  <si>
    <t>Erik Lamela - 17</t>
  </si>
  <si>
    <t>Hernan Crespo - 20</t>
  </si>
  <si>
    <t>Maxi Rodriguez -15</t>
  </si>
  <si>
    <t>Juan Sebastien Veron - 8</t>
  </si>
  <si>
    <t>Leonardon Ulloa - 19</t>
  </si>
  <si>
    <t>Belgian legends</t>
  </si>
  <si>
    <t>Divock Origi - 22</t>
  </si>
  <si>
    <t>Kevin Mirallas - 29</t>
  </si>
  <si>
    <t>Eden Hazard - 85</t>
  </si>
  <si>
    <t>Kevin De Bruyne - 72</t>
  </si>
  <si>
    <t>Michy Batshouayi - 15</t>
  </si>
  <si>
    <t>Adnan Januzaj - 5</t>
  </si>
  <si>
    <t>Christian Benteke - 86</t>
  </si>
  <si>
    <t>Marouane Fellaini - 37</t>
  </si>
  <si>
    <t>Thomas Vermaelen - 13</t>
  </si>
  <si>
    <t>Toby Alderweireld - 9</t>
  </si>
  <si>
    <t>Vincent Kompany - 18</t>
  </si>
  <si>
    <t>Ireland legends</t>
  </si>
  <si>
    <t>Robbie Keane - 126</t>
  </si>
  <si>
    <t>Ian Harte - 28</t>
  </si>
  <si>
    <t>Niall Quinn -59</t>
  </si>
  <si>
    <t>Roy Keane - 39</t>
  </si>
  <si>
    <t>Seamus Coleman - 22</t>
  </si>
  <si>
    <t>Stephen Ireland - 19</t>
  </si>
  <si>
    <t>Rory Delap - 23</t>
  </si>
  <si>
    <t>Damien Duff - 54</t>
  </si>
  <si>
    <t>Shane Long - 56</t>
  </si>
  <si>
    <t>Denis Irwin - 18</t>
  </si>
  <si>
    <t>Kevin Kilbane - 15</t>
  </si>
  <si>
    <t>Welsh Legends</t>
  </si>
  <si>
    <t>Ian Rush - 48</t>
  </si>
  <si>
    <t>Gareth Bale - 53</t>
  </si>
  <si>
    <t>John Hartson - 55</t>
  </si>
  <si>
    <t>Craig Bellamy - 81</t>
  </si>
  <si>
    <t>Vinnie Jones - 13</t>
  </si>
  <si>
    <t>Aaron Ramsey - 40</t>
  </si>
  <si>
    <t>Mark Hughes - 64</t>
  </si>
  <si>
    <t>Robbie Savage - 20</t>
  </si>
  <si>
    <t>Simon Davies - 27</t>
  </si>
  <si>
    <t>Gary Speed - 80</t>
  </si>
  <si>
    <t>Joe Allen - 16</t>
  </si>
  <si>
    <t xml:space="preserve">Competition </t>
  </si>
  <si>
    <t>FA cup</t>
  </si>
  <si>
    <t>Salomon Kalou - 36</t>
  </si>
  <si>
    <t>Sadio Mane - 111</t>
  </si>
  <si>
    <t>Shola Ameobi - 43</t>
  </si>
  <si>
    <t>El Hadj Diouf - 28</t>
  </si>
  <si>
    <t>Demba Ba - 43</t>
  </si>
  <si>
    <t>Emmanuel Adebayour - 97</t>
  </si>
  <si>
    <t>Yakubu - 95</t>
  </si>
  <si>
    <t>Brighton &amp; Hove Albion - 0</t>
  </si>
  <si>
    <t>Trophies</t>
  </si>
  <si>
    <t>FA Cups</t>
  </si>
  <si>
    <t>Crystal Palace - 1</t>
  </si>
  <si>
    <t>Manchester United - 13</t>
  </si>
  <si>
    <t>Newcastle United - 6</t>
  </si>
  <si>
    <t>Everton - 5</t>
  </si>
  <si>
    <t>Manchester City - 7</t>
  </si>
  <si>
    <t>Leicester City - 1</t>
  </si>
  <si>
    <t>Tottenham Hotspur - 8</t>
  </si>
  <si>
    <t>Blackburn Rovers - 6</t>
  </si>
  <si>
    <t>West Ham United - 3</t>
  </si>
  <si>
    <t>Sheffield Wednesday - 3</t>
  </si>
  <si>
    <t>Champions League</t>
  </si>
  <si>
    <t>Real Madrid - 15</t>
  </si>
  <si>
    <t>Inter Milan - 3</t>
  </si>
  <si>
    <t>Juventus - 2</t>
  </si>
  <si>
    <t>Borussia Dortmund - 1</t>
  </si>
  <si>
    <t>Atletico Madrid - 0</t>
  </si>
  <si>
    <t>Chelsea - 2</t>
  </si>
  <si>
    <t>Paris Saint Germain - 1</t>
  </si>
  <si>
    <t>Liverpool - 6</t>
  </si>
  <si>
    <t>AC Milan - 7</t>
  </si>
  <si>
    <t>World Cup</t>
  </si>
  <si>
    <t>World Cup Finals</t>
  </si>
  <si>
    <t>Italy - 6</t>
  </si>
  <si>
    <t>England - 1</t>
  </si>
  <si>
    <t>Portugal - 0</t>
  </si>
  <si>
    <t>Argentina - 6</t>
  </si>
  <si>
    <t>Czechoslovakia -2</t>
  </si>
  <si>
    <t>Spain - 1</t>
  </si>
  <si>
    <t>Germany - 8</t>
  </si>
  <si>
    <t>Brazil - 7</t>
  </si>
  <si>
    <t>Netherlands - 3</t>
  </si>
  <si>
    <t>France - 4</t>
  </si>
  <si>
    <t>Uruguay - 2</t>
  </si>
  <si>
    <t>Assists</t>
  </si>
  <si>
    <t>UK</t>
  </si>
  <si>
    <t>Foreign</t>
  </si>
  <si>
    <t>Ryan Giggs - 162</t>
  </si>
  <si>
    <t>Theo Walcott - 56</t>
  </si>
  <si>
    <t>Wayne Rooney - 103</t>
  </si>
  <si>
    <t>Steve McManaman - 59</t>
  </si>
  <si>
    <t>Steven Gerrard - 92</t>
  </si>
  <si>
    <t>Frank Lampard - 102</t>
  </si>
  <si>
    <t>David Beckham - 80</t>
  </si>
  <si>
    <t>Peter Crouch - 57</t>
  </si>
  <si>
    <t>Harry Kane - 46</t>
  </si>
  <si>
    <t>Joe Cole - 36</t>
  </si>
  <si>
    <t>Thierry Henry - 74</t>
  </si>
  <si>
    <t>Robin van Persie - 54</t>
  </si>
  <si>
    <t>Cristiano Ronaldo - 37</t>
  </si>
  <si>
    <t>David Silva - 93</t>
  </si>
  <si>
    <t>Dennis Bergkamp - 94</t>
  </si>
  <si>
    <t>Riyad Mahrez - 61</t>
  </si>
  <si>
    <t>Mesut Ozil - 54</t>
  </si>
  <si>
    <t>Samir Nasri - 40</t>
  </si>
  <si>
    <t>Juan Mata - 54</t>
  </si>
  <si>
    <t>Nolberton Solano - 62</t>
  </si>
  <si>
    <t>Christian Eriksen - 78</t>
  </si>
  <si>
    <t>Appearances</t>
  </si>
  <si>
    <t>Gareth Barry - 653</t>
  </si>
  <si>
    <t>Mark Noble - 412</t>
  </si>
  <si>
    <t>Ryan Giggs - 632</t>
  </si>
  <si>
    <t>James Beattie - 331</t>
  </si>
  <si>
    <t>Frank Lampard - 609</t>
  </si>
  <si>
    <t>Peter Crouch - 468</t>
  </si>
  <si>
    <t>David James - 572</t>
  </si>
  <si>
    <t>Scott Parker - 368</t>
  </si>
  <si>
    <t>Gary Speed - 535</t>
  </si>
  <si>
    <t>Wayne Rooney - 491</t>
  </si>
  <si>
    <t>Paul Scholes - 499</t>
  </si>
  <si>
    <t>John Arne Riise - 321</t>
  </si>
  <si>
    <t>Cesc Fabregas - 350</t>
  </si>
  <si>
    <t>Tim Howard - 399</t>
  </si>
  <si>
    <t>Petr Cech - 443</t>
  </si>
  <si>
    <t>Sylvain Distin - 469</t>
  </si>
  <si>
    <t>Mark Schwarzer - 514</t>
  </si>
  <si>
    <t>Pablo Zabaleta - 303</t>
  </si>
  <si>
    <t>Peter Schmeichel - 310</t>
  </si>
  <si>
    <t>Brad Friedel - 450</t>
  </si>
  <si>
    <t>David De Gea - 415</t>
  </si>
  <si>
    <t>Dwight Yorke - 375</t>
  </si>
  <si>
    <t>International</t>
  </si>
  <si>
    <t>Sergia Aguero - 101</t>
  </si>
  <si>
    <t>Brian Laudrup - 82</t>
  </si>
  <si>
    <t>George Best - 37</t>
  </si>
  <si>
    <t>Eusebio - 41</t>
  </si>
  <si>
    <t>Ruud van Nistlerooy - 35</t>
  </si>
  <si>
    <t>Xavi - 12</t>
  </si>
  <si>
    <t>Zinedine Zidane - 30</t>
  </si>
  <si>
    <t>Diego Maradona - 34</t>
  </si>
  <si>
    <t>Alan Shearer - 30</t>
  </si>
  <si>
    <t>Robbie Keane - 68</t>
  </si>
  <si>
    <t xml:space="preserve">Golden boot </t>
  </si>
  <si>
    <t>Capacity</t>
  </si>
  <si>
    <t>Stadium capacity</t>
  </si>
  <si>
    <t>Real Madrid - Bernabeu - 83,186</t>
  </si>
  <si>
    <t>Benfica - Estadio da Luz - 50,033</t>
  </si>
  <si>
    <t>Young Boys - Wankdorf - 31,783</t>
  </si>
  <si>
    <t>Roma/Lazio 0 Stadio Olimpico - 70,634</t>
  </si>
  <si>
    <t>WC26 Host countries</t>
  </si>
  <si>
    <t>Brazil</t>
  </si>
  <si>
    <t>Argentina</t>
  </si>
  <si>
    <t>Germany</t>
  </si>
  <si>
    <t>Belgium</t>
  </si>
  <si>
    <t>Croatia</t>
  </si>
  <si>
    <t>Czechia</t>
  </si>
  <si>
    <t>Scotland</t>
  </si>
  <si>
    <t>Netherlands</t>
  </si>
  <si>
    <t>Sweden</t>
  </si>
  <si>
    <t>Spain</t>
  </si>
  <si>
    <t>Uruguay</t>
  </si>
  <si>
    <t>France</t>
  </si>
  <si>
    <t>Senegal</t>
  </si>
  <si>
    <t xml:space="preserve">Portugal </t>
  </si>
  <si>
    <t xml:space="preserve">Colombia </t>
  </si>
  <si>
    <t>England</t>
  </si>
  <si>
    <t>Ivory Coast</t>
  </si>
  <si>
    <t>UCL</t>
  </si>
  <si>
    <t>Cristiano Ronaldo - 140</t>
  </si>
  <si>
    <t>Thierry Henry - 50</t>
  </si>
  <si>
    <t>Alessandro Del Piero - 42</t>
  </si>
  <si>
    <t>Eden Hazard - 10</t>
  </si>
  <si>
    <t>Luis Suarex - 27</t>
  </si>
  <si>
    <t>Michael Owen - 11</t>
  </si>
  <si>
    <t>Robin van Persie - 25</t>
  </si>
  <si>
    <t>Zlatan Ibrahimović - 124</t>
  </si>
  <si>
    <t>Frank Lampard - 105</t>
  </si>
  <si>
    <t>David Beckham - 98</t>
  </si>
  <si>
    <t>Rio Ferdinand - 85</t>
  </si>
  <si>
    <t>Deco - 89</t>
  </si>
  <si>
    <t>Claude Makelele - 78</t>
  </si>
  <si>
    <t>Ronaldo - 40</t>
  </si>
  <si>
    <t>Ronaldinho - 47</t>
  </si>
  <si>
    <t>Zinedine Zidane - 80</t>
  </si>
  <si>
    <t>Francesco Totti - 57</t>
  </si>
  <si>
    <t>Dimitar Berbatov - 33</t>
  </si>
  <si>
    <t>Carlos Tevez - 73</t>
  </si>
  <si>
    <t>Edison Cavani - 35</t>
  </si>
  <si>
    <t>Petr Cech - 124</t>
  </si>
  <si>
    <t>Pavel Nedved - 91</t>
  </si>
  <si>
    <t>Diego Godín - 161</t>
  </si>
  <si>
    <t>Gustavo Poyet - 26</t>
  </si>
  <si>
    <t>Sebastian Coates - 51</t>
  </si>
  <si>
    <t>Jonas Olsson - 25</t>
  </si>
  <si>
    <t>Marcus Allback - 74</t>
  </si>
  <si>
    <t>Divock Origi - 32</t>
  </si>
  <si>
    <t>Kevin Mirallas - 60</t>
  </si>
  <si>
    <t>Edouard Mendy - 36</t>
  </si>
  <si>
    <t>Barcelona - 5</t>
  </si>
  <si>
    <t>Juan Pablo Angel - 33</t>
  </si>
  <si>
    <t>Dejan Lovren - 78</t>
  </si>
  <si>
    <t>Julio Cesar - 87</t>
  </si>
  <si>
    <t>Adriano - 48</t>
  </si>
  <si>
    <t>Sergio Aguero - 101</t>
  </si>
  <si>
    <t>Hernan Crespo - 64</t>
  </si>
  <si>
    <t>Diego Simeone - 106</t>
  </si>
  <si>
    <t>Angel Di Maria - 140</t>
  </si>
  <si>
    <t>James McFadden - 48</t>
  </si>
  <si>
    <t>Ally McCoist - 61</t>
  </si>
  <si>
    <t>Gary McAllister -57</t>
  </si>
  <si>
    <t>Kenny Miller - 69</t>
  </si>
  <si>
    <t>Cristiano Ronaldo – 226</t>
  </si>
  <si>
    <t>Luis Suárez – 132</t>
  </si>
  <si>
    <t>Ashley Cole – 107</t>
  </si>
  <si>
    <t>Laurent Blanc – 97</t>
  </si>
  <si>
    <t>Luka Modrić – 176</t>
  </si>
  <si>
    <t>Xavi – 133</t>
  </si>
  <si>
    <t>Gianluigi Buffon – 176</t>
  </si>
  <si>
    <t>Robert Lewandowski – 153</t>
  </si>
  <si>
    <t>Fabio Cannavaro – 136</t>
  </si>
  <si>
    <t>Kevin Kilbane – 110</t>
  </si>
  <si>
    <t>Gareth Bale – 111</t>
  </si>
  <si>
    <t>Lionel Messi – 198</t>
  </si>
  <si>
    <t>Javier Mascherano – 147</t>
  </si>
  <si>
    <t>Hakan Şükür – 112</t>
  </si>
  <si>
    <t>Pavel Nedvěd – 91</t>
  </si>
  <si>
    <t>Sergio Ramos – 180</t>
  </si>
  <si>
    <t>Leonardo Bonucci – 121</t>
  </si>
  <si>
    <t>Bobby Charlton – 106</t>
  </si>
  <si>
    <t>Nani – 112</t>
  </si>
  <si>
    <t>Thierry Henry – 123</t>
  </si>
  <si>
    <t>Wesley Sneijder – 134</t>
  </si>
  <si>
    <t>Paolo Maldini – 126</t>
  </si>
  <si>
    <t>Iker Casillas – 167</t>
  </si>
  <si>
    <t>Andrés Iniesta – 131</t>
  </si>
  <si>
    <t>Lothar Matthäus – 150</t>
  </si>
  <si>
    <t>Igor Akinfeev – 111</t>
  </si>
  <si>
    <t>Henrik Larsson – 106</t>
  </si>
  <si>
    <t>Xabi Alonso – 114</t>
  </si>
  <si>
    <t>Miroslav Klose – 137</t>
  </si>
  <si>
    <t>Lilian Thuram – 142</t>
  </si>
  <si>
    <t>Atiba Hutchinson (Canada) – 104</t>
  </si>
  <si>
    <t>Rafael Márquez (Mexico)– 147</t>
  </si>
  <si>
    <t>Paul Stalteri (Canada) – 84</t>
  </si>
  <si>
    <t>Landon Donovan (USA)– 157</t>
  </si>
  <si>
    <t>Tomasz Radzinski (Canada) – 46</t>
  </si>
  <si>
    <t>Guillermo Ochoa (Mexico)– 150</t>
  </si>
  <si>
    <t>Andres Guardado (Mexico)– 179</t>
  </si>
  <si>
    <t>Javier Hernández (Mexico) – 109</t>
  </si>
  <si>
    <t>Luis Hernandez (Mexico)– 85</t>
  </si>
  <si>
    <t>Clint Dempsey (USA)– 141</t>
  </si>
  <si>
    <t>Michael Bradley (USA) – 151</t>
  </si>
  <si>
    <t>Vladimir Smicer - 81</t>
  </si>
  <si>
    <t>Patrik Berger - 44</t>
  </si>
  <si>
    <t>Antonin Panenka - 59</t>
  </si>
  <si>
    <t>Karel Poborsky - 118</t>
  </si>
  <si>
    <t>Jan Koller - 91</t>
  </si>
  <si>
    <t>Vladimir Darida - 76</t>
  </si>
  <si>
    <t>Tomas Rosicky - 105</t>
  </si>
  <si>
    <t>Jaroslav Plasil - 103</t>
  </si>
  <si>
    <t>Milan Baros - 93</t>
  </si>
  <si>
    <t>Zico – 71</t>
  </si>
  <si>
    <t>Roberto Carlos – 125</t>
  </si>
  <si>
    <t>Cafu – 142</t>
  </si>
  <si>
    <t>Kaka – 92</t>
  </si>
  <si>
    <t>Rivaldo – 74</t>
  </si>
  <si>
    <t>Ronaldinho – 97</t>
  </si>
  <si>
    <t>Romário – 70</t>
  </si>
  <si>
    <t>Ronaldo – 98</t>
  </si>
  <si>
    <t>Pele – 92</t>
  </si>
  <si>
    <t>Kenny Dalglish – 102</t>
  </si>
  <si>
    <t>Darren Fletcher – 80</t>
  </si>
  <si>
    <t>Paul Lambert – 40</t>
  </si>
  <si>
    <t>Graeme Souness – 54</t>
  </si>
  <si>
    <t>Archie Gemmill – 43</t>
  </si>
  <si>
    <t>Denis Law – 55</t>
  </si>
  <si>
    <t>Gordon Strachan – 50</t>
  </si>
  <si>
    <t/>
  </si>
  <si>
    <t>Max Gradel – 97</t>
  </si>
  <si>
    <t>Cheick Tiote – 52</t>
  </si>
  <si>
    <t>Didier Zokora – 123</t>
  </si>
  <si>
    <t>Aruna Dindane – 62</t>
  </si>
  <si>
    <t>Kolo Toure – 120</t>
  </si>
  <si>
    <t>Yaya Toure – 102</t>
  </si>
  <si>
    <t>Emmanuel Eboue – 79</t>
  </si>
  <si>
    <t>Wilfried Bony – 52</t>
  </si>
  <si>
    <t>Gervinho – 88</t>
  </si>
  <si>
    <t>Salomon Kalou – 97</t>
  </si>
  <si>
    <t>Didier Drogba – 105</t>
  </si>
  <si>
    <t>Martin Dahlin – 60</t>
  </si>
  <si>
    <t>Anders Svensson – 148</t>
  </si>
  <si>
    <t>Jesper Blomqvist - 30</t>
  </si>
  <si>
    <t>Zlatan Ibrahimović – 122</t>
  </si>
  <si>
    <t>Patrik Andersson – 96</t>
  </si>
  <si>
    <t>Olof Mellberg – 117</t>
  </si>
  <si>
    <t>Sebastian Larsson – 133</t>
  </si>
  <si>
    <t>Freddie Ljungberg – 75</t>
  </si>
  <si>
    <t>Vincent Kompany – 89</t>
  </si>
  <si>
    <t>Dries Mertens – 109</t>
  </si>
  <si>
    <t>Eden Hazard – 126</t>
  </si>
  <si>
    <t>Jan Vertonghen – 154</t>
  </si>
  <si>
    <t>Romelu Lukaku – 114</t>
  </si>
  <si>
    <t>Axel Witsel – 130</t>
  </si>
  <si>
    <t>Toby Alderweireld – 127</t>
  </si>
  <si>
    <t>Marouane Fellaini – 87</t>
  </si>
  <si>
    <t>Mousa Dembélé – 82</t>
  </si>
  <si>
    <t>Fernando Muslera - 139</t>
  </si>
  <si>
    <t>Maxi Pereira - 125</t>
  </si>
  <si>
    <t>Diego Forlan - 112</t>
  </si>
  <si>
    <t>Luis Suarez - 143</t>
  </si>
  <si>
    <t>Cristian Rodriguez - 116</t>
  </si>
  <si>
    <t>Enzo Francescoli - 73</t>
  </si>
  <si>
    <t>Edinson Cavani - 136</t>
  </si>
  <si>
    <t>Diego Lugano - 95</t>
  </si>
  <si>
    <t>Cheikhou Kouyaté – 86</t>
  </si>
  <si>
    <t>Sadio Mané – 105</t>
  </si>
  <si>
    <t>El Hadji Diouf – 69</t>
  </si>
  <si>
    <t>Papa Bouba Diop – 63</t>
  </si>
  <si>
    <t>Kalidou Koulibaly – 83</t>
  </si>
  <si>
    <t>Idrissa Gana Gueye – 104</t>
  </si>
  <si>
    <t>Moussa Sow – 50</t>
  </si>
  <si>
    <t>Mame Biram Diouf – 47</t>
  </si>
  <si>
    <t>Salif Diao – 39</t>
  </si>
  <si>
    <t>Demba Ba – 22</t>
  </si>
  <si>
    <t>Pablo Aimar – 52</t>
  </si>
  <si>
    <t>Diego Maradona – 91</t>
  </si>
  <si>
    <t>Juan Sebastián Verón – 73</t>
  </si>
  <si>
    <t>Walter Samuel – 56</t>
  </si>
  <si>
    <t>Carlos Tevez – 76</t>
  </si>
  <si>
    <t>Gabriel Batistuta – 78</t>
  </si>
  <si>
    <t>Abel Aguilar – 71</t>
  </si>
  <si>
    <t>Faustino Asprilla – 57</t>
  </si>
  <si>
    <t>Jackson Martínez – 40</t>
  </si>
  <si>
    <t>Freddy Rincón – 84</t>
  </si>
  <si>
    <t>David Ospina – 127</t>
  </si>
  <si>
    <t>Juan Cuadrado – 116</t>
  </si>
  <si>
    <t>Carlos Valderrama – 111</t>
  </si>
  <si>
    <t>Mario Yepes – 102</t>
  </si>
  <si>
    <t>James Rodríguez – 101</t>
  </si>
  <si>
    <t>Radamel Falcao – 104</t>
  </si>
  <si>
    <t>Stipe Pletikosa – 114</t>
  </si>
  <si>
    <t>Darijo Srna – 134</t>
  </si>
  <si>
    <t>Xavi - 151</t>
  </si>
  <si>
    <t>Sergio Busquets - 129</t>
  </si>
  <si>
    <t>Roberto Carlos - 120</t>
  </si>
  <si>
    <t>Karim Benzema - 152</t>
  </si>
  <si>
    <t>Sergio Ramos - 142</t>
  </si>
  <si>
    <t>Cristiano Ronaldo - 183</t>
  </si>
  <si>
    <t>Paolo Maldini - 135</t>
  </si>
  <si>
    <t>Philipp Lahm - 112</t>
  </si>
  <si>
    <t>Paul Scholes - 124</t>
  </si>
  <si>
    <t>Clarence Seedorf - 125</t>
  </si>
  <si>
    <t>Paul Scholes - 55</t>
  </si>
  <si>
    <t>Manchester United – Old Trafford – 74,879</t>
  </si>
  <si>
    <t>Tottenham Hotspur – Tottenham Hotspur Stadium – 62,850</t>
  </si>
  <si>
    <t>Bournemouth – Vitality Stadium – 11,329</t>
  </si>
  <si>
    <t>West Ham – London Stadium – 62,500</t>
  </si>
  <si>
    <t>Leeds United – Elland Road – 37,792</t>
  </si>
  <si>
    <t>Arsenal – Emirates Stadium – 60,704</t>
  </si>
  <si>
    <t>Wolves – Molineux – 32,050</t>
  </si>
  <si>
    <t>Fulham – Craven Cottage – 25,700</t>
  </si>
  <si>
    <t>Aston Villa – Villa Park – 42,749</t>
  </si>
  <si>
    <t>Manchester City – Etihad Stadium – 55,017</t>
  </si>
  <si>
    <t>Liverpool – Anfield – 53,394</t>
  </si>
  <si>
    <t>Barcelona – Camp Nou – 99,354</t>
  </si>
  <si>
    <t>Rangers – Ibrox Stadium – 50,817</t>
  </si>
  <si>
    <t>AC Milan / Inter – San Siro – 80,018</t>
  </si>
  <si>
    <t>England - Wembley - 90,000</t>
  </si>
  <si>
    <t>Besiktas– Vodafone Park – 42,590</t>
  </si>
  <si>
    <t>Chelsea – Stamford Bridge – 40,341</t>
  </si>
  <si>
    <t>Juventus – Allianz Stadium – 41,507</t>
  </si>
  <si>
    <t>Emre Can - 10</t>
  </si>
  <si>
    <t>Michael Ballack -17</t>
  </si>
  <si>
    <t>Rodri - 22</t>
  </si>
  <si>
    <t>Pierre-Emerick Aubameyang - 69</t>
  </si>
  <si>
    <t>Kelechi Iheanacho - 42</t>
  </si>
  <si>
    <t>Didier Drogba - 104</t>
  </si>
  <si>
    <t>Nwankwo Kanu - 54</t>
  </si>
  <si>
    <t>Dries Mertens – 21</t>
  </si>
  <si>
    <t>Miroslav Klose – 71</t>
  </si>
  <si>
    <t>Eden Hazard – 33</t>
  </si>
  <si>
    <t>Robin van Persie – 50</t>
  </si>
  <si>
    <t>Patrick Kluivert – 40</t>
  </si>
  <si>
    <t>Karim Benzema – 37</t>
  </si>
  <si>
    <t>Luis Suárez – 68</t>
  </si>
  <si>
    <t>Gary Lineker – 48</t>
  </si>
  <si>
    <t>Michael Owen – 40</t>
  </si>
  <si>
    <t>Fernando Torres – 38</t>
  </si>
  <si>
    <t>Neymar – 79</t>
  </si>
  <si>
    <t>Henrik Larsson – 37</t>
  </si>
  <si>
    <t>Robert Lewandowski – 82</t>
  </si>
  <si>
    <t>Arjen Robben – 37</t>
  </si>
  <si>
    <t>Gerd Müller – 68</t>
  </si>
  <si>
    <t>David Villa – 59</t>
  </si>
  <si>
    <t>Edinson Cavani – 58</t>
  </si>
  <si>
    <t>Diego Forlan - 36</t>
  </si>
  <si>
    <t>Gabriel Batistuta – 56</t>
  </si>
  <si>
    <t>Romelu Lukaku – 85</t>
  </si>
  <si>
    <t>Raul – 44</t>
  </si>
  <si>
    <t>Nani – 24</t>
  </si>
  <si>
    <t>Pelé – 77</t>
  </si>
  <si>
    <t>Zlatan Ibrahimović – 62</t>
  </si>
  <si>
    <t>Olivier Giroud – 57</t>
  </si>
  <si>
    <t>Thierry Henry – 51</t>
  </si>
  <si>
    <t>Robin van Persie – 2011/12 – 30</t>
  </si>
  <si>
    <t>Robin van Persie – 2012/13 – 26</t>
  </si>
  <si>
    <t>Luis Suárez – 2013/14 – 31</t>
  </si>
  <si>
    <t>Sergio Agüero – 2014/15 – 26</t>
  </si>
  <si>
    <t>Harry Kane – 2015/16 – 25</t>
  </si>
  <si>
    <t>Harry Kane – 2016/17 – 29</t>
  </si>
  <si>
    <t>Mohamed Salah – 2017/18 – 32</t>
  </si>
  <si>
    <t>Jamie Vardy – 2019/20 – 23</t>
  </si>
  <si>
    <t>Erling Haaland – 2022/23 – 36</t>
  </si>
  <si>
    <t>Erling Haaland – 2023/24 – 27</t>
  </si>
  <si>
    <t>Mohamed Salah – 2024/25 – 29</t>
  </si>
  <si>
    <t>Kevin Phillips – 1999/00 – 30</t>
  </si>
  <si>
    <t>Jimmy Floyd Hasselbaink – 2000/01 – 23</t>
  </si>
  <si>
    <t>Thierry Henry – 2001/02 – 24</t>
  </si>
  <si>
    <t>Ruud van Nistelrooy – 2002/03 – 25</t>
  </si>
  <si>
    <t>Thierry Henry – 2003/04 – 30</t>
  </si>
  <si>
    <t>Thierry Henry – 2004/05 – 25</t>
  </si>
  <si>
    <t>Thierry Henry – 2005/06 – 27</t>
  </si>
  <si>
    <t>Didier Drogba – 2006/07 – 20</t>
  </si>
  <si>
    <t>Cristiano Ronaldo – 2007/08 – 31</t>
  </si>
  <si>
    <t>Nicolas Anelka – 2008/09 – 19</t>
  </si>
  <si>
    <t>Didier Drogba – 2009/10 – 29</t>
  </si>
  <si>
    <t>Lionel Messi - 129</t>
  </si>
  <si>
    <t>Neymar - 43</t>
  </si>
  <si>
    <t>Karim Benzema - 90</t>
  </si>
  <si>
    <t>Steven Gerrard - 21</t>
  </si>
  <si>
    <t>Ruud van Nistelrooy - 56</t>
  </si>
  <si>
    <t>Wayne Rooney - 30</t>
  </si>
  <si>
    <t>Fernando Torres - 20</t>
  </si>
  <si>
    <t>Roberto Carlos - 14</t>
  </si>
  <si>
    <t>Andriy Shevchenko - 48</t>
  </si>
  <si>
    <t>Sergio Agüero - 41</t>
  </si>
  <si>
    <t>Raúl - 71</t>
  </si>
  <si>
    <t>Didier Drogba - 44</t>
  </si>
  <si>
    <t>Arjen Robben - 31</t>
  </si>
  <si>
    <t>Samuel Eto'o - 30</t>
  </si>
  <si>
    <t>Ajax -4</t>
  </si>
  <si>
    <t>Jaap Stam -67</t>
  </si>
  <si>
    <t>Mesut Ozil - 92</t>
  </si>
  <si>
    <t>Mats Hummels - 78</t>
  </si>
  <si>
    <t>Andre Schurrle - 57</t>
  </si>
  <si>
    <t>Dennis Bergkamp – 79</t>
  </si>
  <si>
    <t>Johan Cruyff – 48</t>
  </si>
  <si>
    <t>Edwin van der Sar – 130</t>
  </si>
  <si>
    <t>Ruud Gullit – 66</t>
  </si>
  <si>
    <t>Marco van Basten – 58</t>
  </si>
  <si>
    <t>Arjen Robben – 96</t>
  </si>
  <si>
    <t>Edgar Davids – 74</t>
  </si>
  <si>
    <t>Ruud van Nistelrooy – 70</t>
  </si>
  <si>
    <t>Boudewijn Zenden – 54</t>
  </si>
  <si>
    <t>Gerd Muller – 62</t>
  </si>
  <si>
    <t>Lothar Matthaus – 150</t>
  </si>
  <si>
    <t>Michael Ballack – 98</t>
  </si>
  <si>
    <t>Rudi Voller – 90</t>
  </si>
  <si>
    <t>Mario Gotze – 66</t>
  </si>
  <si>
    <t>Franz Beckenbauer – 103</t>
  </si>
  <si>
    <t>Sami Khedira - 77</t>
  </si>
  <si>
    <t>Patrick Kluivert - 79</t>
  </si>
  <si>
    <t>Luka ModriC – 166</t>
  </si>
  <si>
    <t>Milan Rapaic – 49</t>
  </si>
  <si>
    <t>Ivan Perisic – 129</t>
  </si>
  <si>
    <t>Mario Mandzukic – 89</t>
  </si>
  <si>
    <t>Vedran Corluka – 103</t>
  </si>
  <si>
    <t>Ivan Rakitic – 106</t>
  </si>
  <si>
    <t>Davor Suker – 69</t>
  </si>
  <si>
    <t>Alen Boksic – 40</t>
  </si>
  <si>
    <t>Finals</t>
  </si>
  <si>
    <t>FA Cup</t>
  </si>
  <si>
    <t>Manchester United</t>
  </si>
  <si>
    <t>All time</t>
  </si>
  <si>
    <t>Liverpool</t>
  </si>
  <si>
    <t>Arsenal</t>
  </si>
  <si>
    <t>Chelsea</t>
  </si>
  <si>
    <t>Barcelona</t>
  </si>
  <si>
    <t>Real Madrid</t>
  </si>
  <si>
    <t>Bayern Munich</t>
  </si>
  <si>
    <t>PSG</t>
  </si>
  <si>
    <t>Manchester City</t>
  </si>
  <si>
    <t>Tottenham Hotspur</t>
  </si>
  <si>
    <t>Juventus</t>
  </si>
  <si>
    <t>Womens international</t>
  </si>
  <si>
    <t>Transfer 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</si>
</sst>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0B876-E2B4-49A6-830A-971694437239}" name="Table1" displayName="Table1" ref="B2:P116" totalsRowShown="0">
  <autoFilter ref="B2:P116" xr:uid="{6900B876-E2B4-49A6-830A-971694437239}"/>
  <sortState xmlns:xlrd2="http://schemas.microsoft.com/office/spreadsheetml/2017/richdata2" ref="B3:P116">
    <sortCondition ref="B2:B116"/>
  </sortState>
  <tableColumns count="15">
    <tableColumn id="1" xr3:uid="{B2E13536-26C2-417A-891A-410A021F4570}" name="#"/>
    <tableColumn id="2" xr3:uid="{D49C3F38-668E-46B0-A8CC-D454F792532D}" name="Competition "/>
    <tableColumn id="3" xr3:uid="{0F64EECA-1A57-4C03-9186-A32DB97ED713}" name="Stat"/>
    <tableColumn id="4" xr3:uid="{CE2EC848-7314-419D-AD16-04AD48AB0CC1}" name="Theme"/>
    <tableColumn id="5" xr3:uid="{29E48203-9457-4457-BF76-2BDBEA434397}" name="Player 1"/>
    <tableColumn id="6" xr3:uid="{C4D62AF8-F564-4052-BB49-FB3CB04E63C8}" name="Player 2"/>
    <tableColumn id="7" xr3:uid="{8FA922B4-D0F6-4197-A374-593108B6C87F}" name="Player 3"/>
    <tableColumn id="8" xr3:uid="{378E3543-C95E-4CAC-ABD4-7C7F7E07FB6B}" name="Player 4"/>
    <tableColumn id="9" xr3:uid="{19BA31B9-0A27-43C5-9AF5-532975F199C4}" name="Player 5"/>
    <tableColumn id="10" xr3:uid="{3A48A267-FD1E-4FD2-9BB0-F5FA59FC5C13}" name="Player 6"/>
    <tableColumn id="11" xr3:uid="{8A6596DF-89C8-4F6B-9C37-63379E53C993}" name="Player 7"/>
    <tableColumn id="12" xr3:uid="{DC4CFDD8-2BBF-4056-88AC-0EAC7B5222C3}" name="Player 8"/>
    <tableColumn id="13" xr3:uid="{1B539A67-2C25-4471-A974-E692C4372D78}" name="Player 9"/>
    <tableColumn id="14" xr3:uid="{E1BF1861-A050-46D5-827A-A32122CABD68}" name="Player 10"/>
    <tableColumn id="15" xr3:uid="{C8DE0B7C-B13A-4897-ADDC-D0ADA6EE1A40}" name="Player 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0FEC-F30E-46F2-B39D-480DD703DE99}">
  <dimension ref="B2:T237"/>
  <sheetViews>
    <sheetView tabSelected="1" topLeftCell="A54" zoomScale="40" zoomScaleNormal="40" workbookViewId="0">
      <selection activeCell="D94" sqref="D94"/>
    </sheetView>
  </sheetViews>
  <sheetFormatPr defaultRowHeight="14.5" x14ac:dyDescent="0.35"/>
  <cols>
    <col min="2" max="2" width="7.54296875" bestFit="1" customWidth="1"/>
    <col min="3" max="3" width="20.26953125" bestFit="1" customWidth="1"/>
    <col min="4" max="4" width="13.7265625" bestFit="1" customWidth="1"/>
    <col min="5" max="5" width="23" bestFit="1" customWidth="1"/>
    <col min="6" max="6" width="43" bestFit="1" customWidth="1"/>
    <col min="7" max="7" width="59.36328125" bestFit="1" customWidth="1"/>
    <col min="8" max="8" width="40.81640625" bestFit="1" customWidth="1"/>
    <col min="9" max="9" width="39.36328125" bestFit="1" customWidth="1"/>
    <col min="10" max="11" width="37.90625" bestFit="1" customWidth="1"/>
    <col min="12" max="12" width="31.1796875" bestFit="1" customWidth="1"/>
    <col min="13" max="13" width="32.81640625" bestFit="1" customWidth="1"/>
    <col min="14" max="14" width="35.1796875" bestFit="1" customWidth="1"/>
    <col min="15" max="15" width="43.54296875" bestFit="1" customWidth="1"/>
    <col min="16" max="16" width="31.36328125" bestFit="1" customWidth="1"/>
  </cols>
  <sheetData>
    <row r="2" spans="2:16" x14ac:dyDescent="0.35">
      <c r="B2" t="s">
        <v>0</v>
      </c>
      <c r="C2" t="s">
        <v>158</v>
      </c>
      <c r="D2" t="s">
        <v>1</v>
      </c>
      <c r="E2" t="s">
        <v>15</v>
      </c>
      <c r="F2" t="s">
        <v>2</v>
      </c>
      <c r="G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</row>
    <row r="3" spans="2:16" x14ac:dyDescent="0.35">
      <c r="B3">
        <v>1</v>
      </c>
      <c r="C3" t="s">
        <v>13</v>
      </c>
      <c r="D3" t="s">
        <v>14</v>
      </c>
      <c r="E3" t="s">
        <v>77</v>
      </c>
      <c r="F3" t="s">
        <v>78</v>
      </c>
      <c r="G3" t="s">
        <v>85</v>
      </c>
      <c r="H3" t="s">
        <v>83</v>
      </c>
      <c r="I3" t="s">
        <v>84</v>
      </c>
      <c r="J3" t="s">
        <v>82</v>
      </c>
      <c r="K3" t="s">
        <v>88</v>
      </c>
      <c r="L3" t="s">
        <v>81</v>
      </c>
      <c r="M3" t="s">
        <v>86</v>
      </c>
      <c r="N3" t="s">
        <v>87</v>
      </c>
      <c r="O3" t="s">
        <v>79</v>
      </c>
      <c r="P3" t="s">
        <v>80</v>
      </c>
    </row>
    <row r="4" spans="2:16" x14ac:dyDescent="0.35">
      <c r="B4">
        <v>2</v>
      </c>
      <c r="C4" t="s">
        <v>13</v>
      </c>
      <c r="D4" t="s">
        <v>14</v>
      </c>
      <c r="E4" t="s">
        <v>16</v>
      </c>
      <c r="F4" t="s">
        <v>67</v>
      </c>
      <c r="G4" t="s">
        <v>68</v>
      </c>
      <c r="H4" t="s">
        <v>69</v>
      </c>
      <c r="I4" t="s">
        <v>70</v>
      </c>
      <c r="J4" t="s">
        <v>74</v>
      </c>
      <c r="K4" t="s">
        <v>75</v>
      </c>
      <c r="L4" t="s">
        <v>71</v>
      </c>
      <c r="M4" t="s">
        <v>72</v>
      </c>
      <c r="N4" t="s">
        <v>76</v>
      </c>
      <c r="O4" t="s">
        <v>73</v>
      </c>
      <c r="P4" t="s">
        <v>66</v>
      </c>
    </row>
    <row r="5" spans="2:16" x14ac:dyDescent="0.35">
      <c r="B5">
        <v>3</v>
      </c>
      <c r="C5" t="s">
        <v>13</v>
      </c>
      <c r="D5" t="s">
        <v>14</v>
      </c>
      <c r="E5" t="s">
        <v>122</v>
      </c>
      <c r="F5" t="s">
        <v>125</v>
      </c>
      <c r="G5" t="s">
        <v>124</v>
      </c>
      <c r="H5" t="s">
        <v>128</v>
      </c>
      <c r="I5" t="s">
        <v>126</v>
      </c>
      <c r="J5" t="s">
        <v>129</v>
      </c>
      <c r="K5" t="s">
        <v>130</v>
      </c>
      <c r="L5" t="s">
        <v>131</v>
      </c>
      <c r="M5" t="s">
        <v>132</v>
      </c>
      <c r="N5" t="s">
        <v>133</v>
      </c>
      <c r="O5" t="s">
        <v>123</v>
      </c>
      <c r="P5" t="s">
        <v>127</v>
      </c>
    </row>
    <row r="6" spans="2:16" x14ac:dyDescent="0.35">
      <c r="B6">
        <v>4</v>
      </c>
      <c r="C6" t="s">
        <v>13</v>
      </c>
      <c r="D6" t="s">
        <v>14</v>
      </c>
      <c r="E6" t="s">
        <v>17</v>
      </c>
      <c r="F6" t="s">
        <v>57</v>
      </c>
      <c r="G6" t="s">
        <v>490</v>
      </c>
      <c r="H6" t="s">
        <v>58</v>
      </c>
      <c r="I6" t="s">
        <v>59</v>
      </c>
      <c r="J6" t="s">
        <v>65</v>
      </c>
      <c r="K6" t="s">
        <v>60</v>
      </c>
      <c r="L6" t="s">
        <v>61</v>
      </c>
      <c r="M6" t="s">
        <v>62</v>
      </c>
      <c r="N6" t="s">
        <v>64</v>
      </c>
      <c r="O6" t="s">
        <v>63</v>
      </c>
      <c r="P6" t="s">
        <v>491</v>
      </c>
    </row>
    <row r="7" spans="2:16" x14ac:dyDescent="0.35">
      <c r="B7">
        <v>5</v>
      </c>
      <c r="C7" t="s">
        <v>13</v>
      </c>
      <c r="D7" t="s">
        <v>14</v>
      </c>
      <c r="E7" t="s">
        <v>18</v>
      </c>
      <c r="F7" t="s">
        <v>26</v>
      </c>
      <c r="G7" t="s">
        <v>30</v>
      </c>
      <c r="H7" t="s">
        <v>492</v>
      </c>
      <c r="I7" t="s">
        <v>32</v>
      </c>
      <c r="J7" t="s">
        <v>27</v>
      </c>
      <c r="K7" t="s">
        <v>31</v>
      </c>
      <c r="L7" t="s">
        <v>28</v>
      </c>
      <c r="M7" t="s">
        <v>33</v>
      </c>
      <c r="N7" t="s">
        <v>29</v>
      </c>
      <c r="O7" t="s">
        <v>25</v>
      </c>
      <c r="P7" t="s">
        <v>24</v>
      </c>
    </row>
    <row r="8" spans="2:16" x14ac:dyDescent="0.35">
      <c r="B8">
        <v>6</v>
      </c>
      <c r="C8" t="s">
        <v>13</v>
      </c>
      <c r="D8" t="s">
        <v>14</v>
      </c>
      <c r="E8" t="s">
        <v>19</v>
      </c>
      <c r="F8" t="s">
        <v>89</v>
      </c>
      <c r="G8" t="s">
        <v>95</v>
      </c>
      <c r="H8" t="s">
        <v>91</v>
      </c>
      <c r="I8" t="s">
        <v>92</v>
      </c>
      <c r="J8" t="s">
        <v>93</v>
      </c>
      <c r="K8" t="s">
        <v>94</v>
      </c>
      <c r="L8" t="s">
        <v>96</v>
      </c>
      <c r="M8" t="s">
        <v>90</v>
      </c>
      <c r="N8" t="s">
        <v>99</v>
      </c>
      <c r="O8" t="s">
        <v>98</v>
      </c>
      <c r="P8" t="s">
        <v>97</v>
      </c>
    </row>
    <row r="9" spans="2:16" x14ac:dyDescent="0.35">
      <c r="B9">
        <v>7</v>
      </c>
      <c r="C9" t="s">
        <v>13</v>
      </c>
      <c r="D9" t="s">
        <v>14</v>
      </c>
      <c r="E9" t="s">
        <v>20</v>
      </c>
      <c r="F9" t="s">
        <v>34</v>
      </c>
      <c r="G9" t="s">
        <v>35</v>
      </c>
      <c r="H9" t="s">
        <v>36</v>
      </c>
      <c r="I9" t="s">
        <v>38</v>
      </c>
      <c r="J9" t="s">
        <v>39</v>
      </c>
      <c r="K9" t="s">
        <v>40</v>
      </c>
      <c r="L9" t="s">
        <v>41</v>
      </c>
      <c r="M9" t="s">
        <v>42</v>
      </c>
      <c r="N9" t="s">
        <v>44</v>
      </c>
      <c r="O9" t="s">
        <v>37</v>
      </c>
      <c r="P9" t="s">
        <v>43</v>
      </c>
    </row>
    <row r="10" spans="2:16" x14ac:dyDescent="0.35">
      <c r="B10">
        <v>8</v>
      </c>
      <c r="C10" t="s">
        <v>13</v>
      </c>
      <c r="D10" t="s">
        <v>14</v>
      </c>
      <c r="E10" t="s">
        <v>21</v>
      </c>
      <c r="F10" t="s">
        <v>111</v>
      </c>
      <c r="G10" t="s">
        <v>112</v>
      </c>
      <c r="H10" t="s">
        <v>113</v>
      </c>
      <c r="I10" t="s">
        <v>114</v>
      </c>
      <c r="J10" t="s">
        <v>115</v>
      </c>
      <c r="K10" t="s">
        <v>116</v>
      </c>
      <c r="L10" t="s">
        <v>119</v>
      </c>
      <c r="M10" t="s">
        <v>121</v>
      </c>
      <c r="N10" t="s">
        <v>120</v>
      </c>
      <c r="O10" t="s">
        <v>117</v>
      </c>
      <c r="P10" t="s">
        <v>118</v>
      </c>
    </row>
    <row r="11" spans="2:16" x14ac:dyDescent="0.35">
      <c r="B11">
        <v>9</v>
      </c>
      <c r="C11" t="s">
        <v>13</v>
      </c>
      <c r="D11" t="s">
        <v>14</v>
      </c>
      <c r="E11" t="s">
        <v>22</v>
      </c>
      <c r="F11" t="s">
        <v>100</v>
      </c>
      <c r="G11" t="s">
        <v>101</v>
      </c>
      <c r="H11" t="s">
        <v>102</v>
      </c>
      <c r="I11" t="s">
        <v>106</v>
      </c>
      <c r="J11" t="s">
        <v>105</v>
      </c>
      <c r="K11" t="s">
        <v>107</v>
      </c>
      <c r="L11" t="s">
        <v>108</v>
      </c>
      <c r="M11" t="s">
        <v>110</v>
      </c>
      <c r="N11" t="s">
        <v>109</v>
      </c>
      <c r="O11" t="s">
        <v>103</v>
      </c>
      <c r="P11" t="s">
        <v>104</v>
      </c>
    </row>
    <row r="12" spans="2:16" x14ac:dyDescent="0.35">
      <c r="B12">
        <v>10</v>
      </c>
      <c r="C12" t="s">
        <v>13</v>
      </c>
      <c r="D12" t="s">
        <v>14</v>
      </c>
      <c r="E12" t="s">
        <v>23</v>
      </c>
      <c r="F12" t="s">
        <v>160</v>
      </c>
      <c r="G12" t="s">
        <v>161</v>
      </c>
      <c r="H12" t="s">
        <v>162</v>
      </c>
      <c r="I12" t="s">
        <v>163</v>
      </c>
      <c r="J12" t="s">
        <v>493</v>
      </c>
      <c r="K12" t="s">
        <v>494</v>
      </c>
      <c r="L12" t="s">
        <v>495</v>
      </c>
      <c r="M12" t="s">
        <v>496</v>
      </c>
      <c r="N12" t="s">
        <v>164</v>
      </c>
      <c r="O12" t="s">
        <v>165</v>
      </c>
      <c r="P12" t="s">
        <v>166</v>
      </c>
    </row>
    <row r="13" spans="2:16" x14ac:dyDescent="0.35">
      <c r="B13">
        <v>11</v>
      </c>
      <c r="C13" t="s">
        <v>13</v>
      </c>
      <c r="D13" t="s">
        <v>14</v>
      </c>
      <c r="E13" t="s">
        <v>45</v>
      </c>
      <c r="F13" t="s">
        <v>50</v>
      </c>
      <c r="G13" t="s">
        <v>46</v>
      </c>
      <c r="H13" t="s">
        <v>47</v>
      </c>
      <c r="I13" t="s">
        <v>51</v>
      </c>
      <c r="J13" t="s">
        <v>53</v>
      </c>
      <c r="K13" t="s">
        <v>52</v>
      </c>
      <c r="L13" t="s">
        <v>54</v>
      </c>
      <c r="M13" t="s">
        <v>55</v>
      </c>
      <c r="N13" t="s">
        <v>56</v>
      </c>
      <c r="O13" t="s">
        <v>49</v>
      </c>
      <c r="P13" t="s">
        <v>48</v>
      </c>
    </row>
    <row r="14" spans="2:16" x14ac:dyDescent="0.35">
      <c r="B14">
        <v>12</v>
      </c>
      <c r="C14" t="s">
        <v>13</v>
      </c>
      <c r="D14" t="s">
        <v>14</v>
      </c>
      <c r="E14" t="s">
        <v>134</v>
      </c>
      <c r="F14" t="s">
        <v>135</v>
      </c>
      <c r="G14" t="s">
        <v>136</v>
      </c>
      <c r="H14" t="s">
        <v>137</v>
      </c>
      <c r="I14" t="s">
        <v>138</v>
      </c>
      <c r="J14" t="s">
        <v>142</v>
      </c>
      <c r="K14" t="s">
        <v>143</v>
      </c>
      <c r="L14" t="s">
        <v>144</v>
      </c>
      <c r="M14" t="s">
        <v>145</v>
      </c>
      <c r="N14" t="s">
        <v>141</v>
      </c>
      <c r="O14" t="s">
        <v>140</v>
      </c>
      <c r="P14" t="s">
        <v>139</v>
      </c>
    </row>
    <row r="15" spans="2:16" x14ac:dyDescent="0.35">
      <c r="B15">
        <v>13</v>
      </c>
      <c r="C15" t="s">
        <v>13</v>
      </c>
      <c r="D15" t="s">
        <v>14</v>
      </c>
      <c r="E15" t="s">
        <v>146</v>
      </c>
      <c r="F15" t="s">
        <v>150</v>
      </c>
      <c r="G15" t="s">
        <v>151</v>
      </c>
      <c r="H15" t="s">
        <v>152</v>
      </c>
      <c r="I15" t="s">
        <v>156</v>
      </c>
      <c r="J15" t="s">
        <v>154</v>
      </c>
      <c r="K15" t="s">
        <v>155</v>
      </c>
      <c r="L15" t="s">
        <v>153</v>
      </c>
      <c r="M15" t="s">
        <v>157</v>
      </c>
      <c r="N15" t="s">
        <v>149</v>
      </c>
      <c r="O15" t="s">
        <v>148</v>
      </c>
      <c r="P15" t="s">
        <v>147</v>
      </c>
    </row>
    <row r="16" spans="2:16" x14ac:dyDescent="0.35">
      <c r="B16">
        <v>14</v>
      </c>
      <c r="C16" t="s">
        <v>159</v>
      </c>
      <c r="D16" t="s">
        <v>168</v>
      </c>
      <c r="E16" t="s">
        <v>169</v>
      </c>
      <c r="F16" t="s">
        <v>170</v>
      </c>
      <c r="G16" t="s">
        <v>171</v>
      </c>
      <c r="H16" t="s">
        <v>175</v>
      </c>
      <c r="I16" t="s">
        <v>167</v>
      </c>
      <c r="J16" t="s">
        <v>174</v>
      </c>
      <c r="K16" t="s">
        <v>176</v>
      </c>
      <c r="L16" t="s">
        <v>178</v>
      </c>
      <c r="M16" t="s">
        <v>177</v>
      </c>
      <c r="N16" t="s">
        <v>179</v>
      </c>
      <c r="O16" t="s">
        <v>173</v>
      </c>
      <c r="P16" t="s">
        <v>172</v>
      </c>
    </row>
    <row r="17" spans="2:16" x14ac:dyDescent="0.35">
      <c r="B17">
        <v>15</v>
      </c>
      <c r="C17" t="s">
        <v>286</v>
      </c>
      <c r="D17" t="s">
        <v>168</v>
      </c>
      <c r="E17" t="s">
        <v>180</v>
      </c>
      <c r="F17" t="s">
        <v>181</v>
      </c>
      <c r="G17" t="s">
        <v>184</v>
      </c>
      <c r="H17" t="s">
        <v>317</v>
      </c>
      <c r="I17" t="s">
        <v>186</v>
      </c>
      <c r="J17" t="s">
        <v>185</v>
      </c>
      <c r="K17" t="s">
        <v>188</v>
      </c>
      <c r="L17" t="s">
        <v>559</v>
      </c>
      <c r="M17" t="s">
        <v>189</v>
      </c>
      <c r="N17" t="s">
        <v>187</v>
      </c>
      <c r="O17" t="s">
        <v>182</v>
      </c>
      <c r="P17" t="s">
        <v>183</v>
      </c>
    </row>
    <row r="18" spans="2:16" x14ac:dyDescent="0.35">
      <c r="B18">
        <v>16</v>
      </c>
      <c r="C18" t="s">
        <v>190</v>
      </c>
      <c r="D18" t="s">
        <v>168</v>
      </c>
      <c r="E18" t="s">
        <v>191</v>
      </c>
      <c r="F18" t="s">
        <v>192</v>
      </c>
      <c r="G18" t="s">
        <v>193</v>
      </c>
      <c r="H18" t="s">
        <v>194</v>
      </c>
      <c r="I18" t="s">
        <v>195</v>
      </c>
      <c r="J18" t="s">
        <v>196</v>
      </c>
      <c r="K18" t="s">
        <v>197</v>
      </c>
      <c r="L18" t="s">
        <v>201</v>
      </c>
      <c r="M18" t="s">
        <v>202</v>
      </c>
      <c r="N18" t="s">
        <v>200</v>
      </c>
      <c r="O18" t="s">
        <v>198</v>
      </c>
      <c r="P18" t="s">
        <v>199</v>
      </c>
    </row>
    <row r="19" spans="2:16" x14ac:dyDescent="0.35">
      <c r="B19">
        <v>17</v>
      </c>
      <c r="C19" t="s">
        <v>13</v>
      </c>
      <c r="D19" t="s">
        <v>203</v>
      </c>
      <c r="E19" t="s">
        <v>204</v>
      </c>
      <c r="F19" t="s">
        <v>206</v>
      </c>
      <c r="G19" t="s">
        <v>207</v>
      </c>
      <c r="H19" t="s">
        <v>208</v>
      </c>
      <c r="I19" t="s">
        <v>209</v>
      </c>
      <c r="J19" t="s">
        <v>210</v>
      </c>
      <c r="K19" t="s">
        <v>211</v>
      </c>
      <c r="L19" t="s">
        <v>212</v>
      </c>
      <c r="M19" t="s">
        <v>214</v>
      </c>
      <c r="N19" t="s">
        <v>215</v>
      </c>
      <c r="O19" t="s">
        <v>213</v>
      </c>
      <c r="P19" t="s">
        <v>471</v>
      </c>
    </row>
    <row r="20" spans="2:16" x14ac:dyDescent="0.35">
      <c r="B20">
        <v>18</v>
      </c>
      <c r="C20" t="s">
        <v>13</v>
      </c>
      <c r="D20" t="s">
        <v>203</v>
      </c>
      <c r="E20" t="s">
        <v>205</v>
      </c>
      <c r="F20" t="s">
        <v>216</v>
      </c>
      <c r="G20" t="s">
        <v>217</v>
      </c>
      <c r="H20" t="s">
        <v>218</v>
      </c>
      <c r="I20" t="s">
        <v>219</v>
      </c>
      <c r="J20" t="s">
        <v>220</v>
      </c>
      <c r="K20" t="s">
        <v>223</v>
      </c>
      <c r="L20" t="s">
        <v>224</v>
      </c>
      <c r="M20" t="s">
        <v>225</v>
      </c>
      <c r="N20" t="s">
        <v>226</v>
      </c>
      <c r="O20" t="s">
        <v>221</v>
      </c>
      <c r="P20" t="s">
        <v>222</v>
      </c>
    </row>
    <row r="21" spans="2:16" x14ac:dyDescent="0.35">
      <c r="B21">
        <v>19</v>
      </c>
      <c r="C21" t="s">
        <v>13</v>
      </c>
      <c r="D21" t="s">
        <v>227</v>
      </c>
      <c r="E21" t="s">
        <v>204</v>
      </c>
      <c r="F21" t="s">
        <v>231</v>
      </c>
      <c r="G21" t="s">
        <v>229</v>
      </c>
      <c r="H21" t="s">
        <v>230</v>
      </c>
      <c r="I21" t="s">
        <v>232</v>
      </c>
      <c r="J21" t="s">
        <v>228</v>
      </c>
      <c r="K21" t="s">
        <v>234</v>
      </c>
      <c r="L21" t="s">
        <v>233</v>
      </c>
      <c r="M21" t="s">
        <v>235</v>
      </c>
      <c r="N21" t="s">
        <v>236</v>
      </c>
      <c r="O21" t="s">
        <v>238</v>
      </c>
      <c r="P21" t="s">
        <v>237</v>
      </c>
    </row>
    <row r="22" spans="2:16" x14ac:dyDescent="0.35">
      <c r="B22">
        <v>20</v>
      </c>
      <c r="C22" t="s">
        <v>13</v>
      </c>
      <c r="D22" t="s">
        <v>227</v>
      </c>
      <c r="E22" t="s">
        <v>205</v>
      </c>
      <c r="F22" t="s">
        <v>245</v>
      </c>
      <c r="G22" t="s">
        <v>241</v>
      </c>
      <c r="H22" t="s">
        <v>247</v>
      </c>
      <c r="I22" t="s">
        <v>239</v>
      </c>
      <c r="J22" t="s">
        <v>240</v>
      </c>
      <c r="K22" t="s">
        <v>248</v>
      </c>
      <c r="L22" t="s">
        <v>246</v>
      </c>
      <c r="M22" t="s">
        <v>249</v>
      </c>
      <c r="N22" t="s">
        <v>243</v>
      </c>
      <c r="O22" t="s">
        <v>244</v>
      </c>
      <c r="P22" t="s">
        <v>242</v>
      </c>
    </row>
    <row r="23" spans="2:16" x14ac:dyDescent="0.35">
      <c r="B23">
        <v>21</v>
      </c>
      <c r="C23" t="s">
        <v>250</v>
      </c>
      <c r="D23" t="s">
        <v>227</v>
      </c>
      <c r="E23" t="s">
        <v>592</v>
      </c>
      <c r="F23" t="s">
        <v>330</v>
      </c>
      <c r="G23" t="s">
        <v>331</v>
      </c>
      <c r="H23" t="s">
        <v>332</v>
      </c>
      <c r="I23" t="s">
        <v>333</v>
      </c>
      <c r="J23" t="s">
        <v>334</v>
      </c>
      <c r="K23" t="s">
        <v>335</v>
      </c>
      <c r="L23" t="s">
        <v>336</v>
      </c>
      <c r="M23" t="s">
        <v>337</v>
      </c>
      <c r="N23" t="s">
        <v>338</v>
      </c>
      <c r="O23" t="s">
        <v>339</v>
      </c>
      <c r="P23" t="s">
        <v>340</v>
      </c>
    </row>
    <row r="24" spans="2:16" x14ac:dyDescent="0.35">
      <c r="B24">
        <v>22</v>
      </c>
      <c r="C24" t="s">
        <v>250</v>
      </c>
      <c r="D24" t="s">
        <v>227</v>
      </c>
      <c r="E24" t="s">
        <v>592</v>
      </c>
      <c r="F24" t="s">
        <v>341</v>
      </c>
      <c r="G24" t="s">
        <v>342</v>
      </c>
      <c r="H24" t="s">
        <v>343</v>
      </c>
      <c r="I24" t="s">
        <v>344</v>
      </c>
      <c r="J24" t="s">
        <v>345</v>
      </c>
      <c r="K24" t="s">
        <v>346</v>
      </c>
      <c r="L24" t="s">
        <v>347</v>
      </c>
      <c r="M24" t="s">
        <v>348</v>
      </c>
      <c r="N24" t="s">
        <v>349</v>
      </c>
      <c r="O24" t="s">
        <v>350</v>
      </c>
      <c r="P24" t="s">
        <v>351</v>
      </c>
    </row>
    <row r="25" spans="2:16" x14ac:dyDescent="0.35">
      <c r="B25">
        <v>23</v>
      </c>
      <c r="C25" t="s">
        <v>250</v>
      </c>
      <c r="D25" t="s">
        <v>227</v>
      </c>
      <c r="E25" t="s">
        <v>592</v>
      </c>
      <c r="F25" t="s">
        <v>352</v>
      </c>
      <c r="G25" t="s">
        <v>251</v>
      </c>
      <c r="H25" t="s">
        <v>353</v>
      </c>
      <c r="I25" t="s">
        <v>354</v>
      </c>
      <c r="J25" t="s">
        <v>355</v>
      </c>
      <c r="K25" t="s">
        <v>356</v>
      </c>
      <c r="L25" t="s">
        <v>357</v>
      </c>
      <c r="M25" t="s">
        <v>252</v>
      </c>
      <c r="N25" t="s">
        <v>253</v>
      </c>
      <c r="O25" t="s">
        <v>358</v>
      </c>
      <c r="P25" t="s">
        <v>359</v>
      </c>
    </row>
    <row r="26" spans="2:16" x14ac:dyDescent="0.35">
      <c r="B26">
        <v>24</v>
      </c>
      <c r="C26" t="s">
        <v>250</v>
      </c>
      <c r="D26" t="s">
        <v>14</v>
      </c>
      <c r="E26" t="s">
        <v>592</v>
      </c>
      <c r="F26" t="s">
        <v>497</v>
      </c>
      <c r="G26" t="s">
        <v>498</v>
      </c>
      <c r="H26" t="s">
        <v>499</v>
      </c>
      <c r="I26" t="s">
        <v>256</v>
      </c>
      <c r="J26" t="s">
        <v>500</v>
      </c>
      <c r="K26" t="s">
        <v>501</v>
      </c>
      <c r="L26" t="s">
        <v>502</v>
      </c>
      <c r="M26" t="s">
        <v>503</v>
      </c>
      <c r="N26" t="s">
        <v>504</v>
      </c>
      <c r="O26" t="s">
        <v>505</v>
      </c>
      <c r="P26" t="s">
        <v>506</v>
      </c>
    </row>
    <row r="27" spans="2:16" x14ac:dyDescent="0.35">
      <c r="B27">
        <v>25</v>
      </c>
      <c r="C27" t="s">
        <v>250</v>
      </c>
      <c r="D27" t="s">
        <v>14</v>
      </c>
      <c r="E27" t="s">
        <v>592</v>
      </c>
      <c r="F27" t="s">
        <v>507</v>
      </c>
      <c r="G27" t="s">
        <v>508</v>
      </c>
      <c r="H27" t="s">
        <v>509</v>
      </c>
      <c r="I27" t="s">
        <v>510</v>
      </c>
      <c r="J27" t="s">
        <v>511</v>
      </c>
      <c r="K27" t="s">
        <v>254</v>
      </c>
      <c r="L27" t="s">
        <v>512</v>
      </c>
      <c r="M27" t="s">
        <v>513</v>
      </c>
      <c r="N27" t="s">
        <v>514</v>
      </c>
      <c r="O27" t="s">
        <v>257</v>
      </c>
      <c r="P27" t="s">
        <v>258</v>
      </c>
    </row>
    <row r="28" spans="2:16" x14ac:dyDescent="0.35">
      <c r="B28">
        <v>26</v>
      </c>
      <c r="C28" t="s">
        <v>250</v>
      </c>
      <c r="D28" t="s">
        <v>14</v>
      </c>
      <c r="E28" t="s">
        <v>592</v>
      </c>
      <c r="F28" t="s">
        <v>515</v>
      </c>
      <c r="G28" t="s">
        <v>516</v>
      </c>
      <c r="H28" t="s">
        <v>517</v>
      </c>
      <c r="I28" t="s">
        <v>259</v>
      </c>
      <c r="J28" t="s">
        <v>518</v>
      </c>
      <c r="K28" t="s">
        <v>260</v>
      </c>
      <c r="L28" t="s">
        <v>519</v>
      </c>
      <c r="M28" t="s">
        <v>520</v>
      </c>
      <c r="N28" t="s">
        <v>255</v>
      </c>
      <c r="O28" t="s">
        <v>521</v>
      </c>
      <c r="P28" t="s">
        <v>522</v>
      </c>
    </row>
    <row r="29" spans="2:16" x14ac:dyDescent="0.35">
      <c r="B29">
        <v>27</v>
      </c>
      <c r="C29" t="s">
        <v>13</v>
      </c>
      <c r="D29" t="s">
        <v>14</v>
      </c>
      <c r="E29" t="s">
        <v>261</v>
      </c>
      <c r="F29" t="s">
        <v>523</v>
      </c>
      <c r="G29" t="s">
        <v>524</v>
      </c>
      <c r="H29" t="s">
        <v>525</v>
      </c>
      <c r="I29" t="s">
        <v>526</v>
      </c>
      <c r="J29" t="s">
        <v>527</v>
      </c>
      <c r="K29" t="s">
        <v>528</v>
      </c>
      <c r="L29" t="s">
        <v>529</v>
      </c>
      <c r="M29" t="s">
        <v>530</v>
      </c>
      <c r="N29" t="s">
        <v>531</v>
      </c>
      <c r="O29" t="s">
        <v>532</v>
      </c>
      <c r="P29" t="s">
        <v>533</v>
      </c>
    </row>
    <row r="30" spans="2:16" x14ac:dyDescent="0.35">
      <c r="B30">
        <v>28</v>
      </c>
      <c r="C30" t="s">
        <v>13</v>
      </c>
      <c r="D30" t="s">
        <v>14</v>
      </c>
      <c r="E30" t="s">
        <v>261</v>
      </c>
      <c r="F30" t="s">
        <v>534</v>
      </c>
      <c r="G30" t="s">
        <v>535</v>
      </c>
      <c r="H30" t="s">
        <v>536</v>
      </c>
      <c r="I30" t="s">
        <v>537</v>
      </c>
      <c r="J30" t="s">
        <v>538</v>
      </c>
      <c r="K30" t="s">
        <v>539</v>
      </c>
      <c r="L30" t="s">
        <v>540</v>
      </c>
      <c r="M30" t="s">
        <v>541</v>
      </c>
      <c r="N30" t="s">
        <v>542</v>
      </c>
      <c r="O30" t="s">
        <v>543</v>
      </c>
      <c r="P30" t="s">
        <v>544</v>
      </c>
    </row>
    <row r="31" spans="2:16" x14ac:dyDescent="0.35">
      <c r="B31">
        <v>29</v>
      </c>
      <c r="C31" t="s">
        <v>13</v>
      </c>
      <c r="D31" t="s">
        <v>262</v>
      </c>
      <c r="E31" t="s">
        <v>263</v>
      </c>
      <c r="F31" t="s">
        <v>472</v>
      </c>
      <c r="G31" t="s">
        <v>473</v>
      </c>
      <c r="H31" t="s">
        <v>474</v>
      </c>
      <c r="I31" t="s">
        <v>475</v>
      </c>
      <c r="J31" t="s">
        <v>476</v>
      </c>
      <c r="K31" t="s">
        <v>477</v>
      </c>
      <c r="L31" t="s">
        <v>478</v>
      </c>
      <c r="M31" t="s">
        <v>479</v>
      </c>
      <c r="N31" t="s">
        <v>480</v>
      </c>
      <c r="O31" t="s">
        <v>481</v>
      </c>
      <c r="P31" t="s">
        <v>482</v>
      </c>
    </row>
    <row r="32" spans="2:16" x14ac:dyDescent="0.35">
      <c r="B32">
        <v>30</v>
      </c>
      <c r="C32" t="s">
        <v>250</v>
      </c>
      <c r="D32" t="s">
        <v>262</v>
      </c>
      <c r="E32" t="s">
        <v>263</v>
      </c>
      <c r="F32" t="s">
        <v>483</v>
      </c>
      <c r="G32" t="s">
        <v>264</v>
      </c>
      <c r="H32" t="s">
        <v>484</v>
      </c>
      <c r="I32" t="s">
        <v>485</v>
      </c>
      <c r="J32" t="s">
        <v>266</v>
      </c>
      <c r="K32" t="s">
        <v>486</v>
      </c>
      <c r="L32" t="s">
        <v>487</v>
      </c>
      <c r="M32" t="s">
        <v>488</v>
      </c>
      <c r="N32" t="s">
        <v>267</v>
      </c>
      <c r="O32" t="s">
        <v>265</v>
      </c>
      <c r="P32" t="s">
        <v>489</v>
      </c>
    </row>
    <row r="33" spans="2:16" x14ac:dyDescent="0.35">
      <c r="B33">
        <v>31</v>
      </c>
      <c r="C33" t="s">
        <v>250</v>
      </c>
      <c r="D33" t="s">
        <v>227</v>
      </c>
      <c r="E33" t="s">
        <v>268</v>
      </c>
      <c r="F33" t="s">
        <v>360</v>
      </c>
      <c r="G33" t="s">
        <v>361</v>
      </c>
      <c r="H33" t="s">
        <v>362</v>
      </c>
      <c r="I33" t="s">
        <v>363</v>
      </c>
      <c r="J33" t="s">
        <v>364</v>
      </c>
      <c r="K33" t="s">
        <v>365</v>
      </c>
      <c r="L33" t="s">
        <v>366</v>
      </c>
      <c r="M33" t="s">
        <v>367</v>
      </c>
      <c r="N33" t="s">
        <v>368</v>
      </c>
      <c r="O33" t="s">
        <v>369</v>
      </c>
      <c r="P33" t="s">
        <v>370</v>
      </c>
    </row>
    <row r="34" spans="2:16" x14ac:dyDescent="0.35">
      <c r="B34">
        <v>32</v>
      </c>
      <c r="C34" t="s">
        <v>250</v>
      </c>
      <c r="D34" t="s">
        <v>227</v>
      </c>
      <c r="E34" t="s">
        <v>274</v>
      </c>
      <c r="F34" t="s">
        <v>371</v>
      </c>
      <c r="G34" t="s">
        <v>307</v>
      </c>
      <c r="H34" t="s">
        <v>372</v>
      </c>
      <c r="I34" t="s">
        <v>373</v>
      </c>
      <c r="J34" t="s">
        <v>374</v>
      </c>
      <c r="K34" t="s">
        <v>375</v>
      </c>
      <c r="L34" t="s">
        <v>376</v>
      </c>
      <c r="M34" t="s">
        <v>377</v>
      </c>
      <c r="N34" t="s">
        <v>378</v>
      </c>
      <c r="O34" t="s">
        <v>379</v>
      </c>
      <c r="P34" t="s">
        <v>308</v>
      </c>
    </row>
    <row r="35" spans="2:16" x14ac:dyDescent="0.35">
      <c r="B35">
        <v>33</v>
      </c>
      <c r="C35" t="s">
        <v>250</v>
      </c>
      <c r="D35" t="s">
        <v>14</v>
      </c>
      <c r="E35" t="s">
        <v>269</v>
      </c>
      <c r="F35" t="s">
        <v>396</v>
      </c>
      <c r="G35" t="s">
        <v>396</v>
      </c>
      <c r="H35" t="s">
        <v>396</v>
      </c>
      <c r="I35" t="s">
        <v>396</v>
      </c>
      <c r="J35" t="s">
        <v>396</v>
      </c>
      <c r="K35" t="s">
        <v>396</v>
      </c>
      <c r="L35" t="s">
        <v>396</v>
      </c>
      <c r="M35" t="s">
        <v>396</v>
      </c>
      <c r="N35" t="s">
        <v>396</v>
      </c>
      <c r="O35" t="s">
        <v>396</v>
      </c>
      <c r="P35" t="s">
        <v>396</v>
      </c>
    </row>
    <row r="36" spans="2:16" x14ac:dyDescent="0.35">
      <c r="B36">
        <v>34</v>
      </c>
      <c r="C36" t="s">
        <v>250</v>
      </c>
      <c r="D36" t="s">
        <v>227</v>
      </c>
      <c r="E36" t="s">
        <v>269</v>
      </c>
      <c r="F36" t="s">
        <v>380</v>
      </c>
      <c r="G36" t="s">
        <v>381</v>
      </c>
      <c r="H36" t="s">
        <v>382</v>
      </c>
      <c r="I36" t="s">
        <v>383</v>
      </c>
      <c r="J36" t="s">
        <v>321</v>
      </c>
      <c r="K36" t="s">
        <v>384</v>
      </c>
      <c r="L36" t="s">
        <v>320</v>
      </c>
      <c r="M36" t="s">
        <v>385</v>
      </c>
      <c r="N36" t="s">
        <v>386</v>
      </c>
      <c r="O36" t="s">
        <v>387</v>
      </c>
      <c r="P36" t="s">
        <v>388</v>
      </c>
    </row>
    <row r="37" spans="2:16" x14ac:dyDescent="0.35">
      <c r="B37">
        <v>35</v>
      </c>
      <c r="C37" t="s">
        <v>250</v>
      </c>
      <c r="D37" t="s">
        <v>14</v>
      </c>
      <c r="E37" t="s">
        <v>275</v>
      </c>
      <c r="F37" t="s">
        <v>396</v>
      </c>
      <c r="G37" t="s">
        <v>396</v>
      </c>
      <c r="H37" t="s">
        <v>396</v>
      </c>
      <c r="I37" t="s">
        <v>396</v>
      </c>
      <c r="J37" t="s">
        <v>396</v>
      </c>
      <c r="K37" t="s">
        <v>396</v>
      </c>
      <c r="L37" t="s">
        <v>396</v>
      </c>
      <c r="M37" t="s">
        <v>396</v>
      </c>
      <c r="N37" t="s">
        <v>396</v>
      </c>
      <c r="O37" t="s">
        <v>396</v>
      </c>
      <c r="P37" t="s">
        <v>396</v>
      </c>
    </row>
    <row r="38" spans="2:16" x14ac:dyDescent="0.35">
      <c r="B38">
        <v>36</v>
      </c>
      <c r="C38" t="s">
        <v>250</v>
      </c>
      <c r="D38" t="s">
        <v>227</v>
      </c>
      <c r="E38" t="s">
        <v>275</v>
      </c>
      <c r="F38" t="s">
        <v>389</v>
      </c>
      <c r="G38" t="s">
        <v>390</v>
      </c>
      <c r="H38" t="s">
        <v>326</v>
      </c>
      <c r="I38" t="s">
        <v>327</v>
      </c>
      <c r="J38" t="s">
        <v>391</v>
      </c>
      <c r="K38" t="s">
        <v>328</v>
      </c>
      <c r="L38" t="s">
        <v>329</v>
      </c>
      <c r="M38" t="s">
        <v>392</v>
      </c>
      <c r="N38" t="s">
        <v>393</v>
      </c>
      <c r="O38" t="s">
        <v>394</v>
      </c>
      <c r="P38" t="s">
        <v>395</v>
      </c>
    </row>
    <row r="39" spans="2:16" x14ac:dyDescent="0.35">
      <c r="B39">
        <v>37</v>
      </c>
      <c r="C39" t="s">
        <v>250</v>
      </c>
      <c r="D39" t="s">
        <v>14</v>
      </c>
      <c r="E39" t="s">
        <v>271</v>
      </c>
      <c r="F39" t="s">
        <v>396</v>
      </c>
      <c r="G39" t="s">
        <v>396</v>
      </c>
      <c r="H39" t="s">
        <v>396</v>
      </c>
      <c r="I39" t="s">
        <v>396</v>
      </c>
      <c r="J39" t="s">
        <v>396</v>
      </c>
      <c r="K39" t="s">
        <v>396</v>
      </c>
      <c r="L39" t="s">
        <v>396</v>
      </c>
      <c r="M39" t="s">
        <v>396</v>
      </c>
      <c r="N39" t="s">
        <v>396</v>
      </c>
      <c r="O39" t="s">
        <v>396</v>
      </c>
      <c r="P39" t="s">
        <v>396</v>
      </c>
    </row>
    <row r="40" spans="2:16" x14ac:dyDescent="0.35">
      <c r="B40">
        <v>38</v>
      </c>
      <c r="C40" t="s">
        <v>250</v>
      </c>
      <c r="D40" t="s">
        <v>227</v>
      </c>
      <c r="E40" t="s">
        <v>271</v>
      </c>
      <c r="F40" t="s">
        <v>573</v>
      </c>
      <c r="G40" t="s">
        <v>574</v>
      </c>
      <c r="H40" t="s">
        <v>358</v>
      </c>
      <c r="I40" t="s">
        <v>575</v>
      </c>
      <c r="J40" t="s">
        <v>576</v>
      </c>
      <c r="K40" t="s">
        <v>577</v>
      </c>
      <c r="L40" t="s">
        <v>563</v>
      </c>
      <c r="M40" t="s">
        <v>578</v>
      </c>
      <c r="N40" t="s">
        <v>561</v>
      </c>
      <c r="O40" t="s">
        <v>562</v>
      </c>
      <c r="P40" t="s">
        <v>579</v>
      </c>
    </row>
    <row r="41" spans="2:16" x14ac:dyDescent="0.35">
      <c r="B41">
        <v>39</v>
      </c>
      <c r="C41" t="s">
        <v>250</v>
      </c>
      <c r="D41" t="s">
        <v>227</v>
      </c>
      <c r="E41" t="s">
        <v>285</v>
      </c>
      <c r="F41" t="s">
        <v>397</v>
      </c>
      <c r="G41" t="s">
        <v>398</v>
      </c>
      <c r="H41" t="s">
        <v>399</v>
      </c>
      <c r="I41" t="s">
        <v>400</v>
      </c>
      <c r="J41" t="s">
        <v>401</v>
      </c>
      <c r="K41" t="s">
        <v>402</v>
      </c>
      <c r="L41" t="s">
        <v>403</v>
      </c>
      <c r="M41" t="s">
        <v>404</v>
      </c>
      <c r="N41" t="s">
        <v>405</v>
      </c>
      <c r="O41" t="s">
        <v>406</v>
      </c>
      <c r="P41" t="s">
        <v>407</v>
      </c>
    </row>
    <row r="42" spans="2:16" x14ac:dyDescent="0.35">
      <c r="B42">
        <v>42</v>
      </c>
      <c r="C42" t="s">
        <v>250</v>
      </c>
      <c r="D42" t="s">
        <v>14</v>
      </c>
      <c r="E42" t="s">
        <v>276</v>
      </c>
      <c r="F42" t="s">
        <v>396</v>
      </c>
      <c r="G42" t="s">
        <v>396</v>
      </c>
      <c r="H42" t="s">
        <v>396</v>
      </c>
      <c r="I42" t="s">
        <v>396</v>
      </c>
      <c r="J42" t="s">
        <v>396</v>
      </c>
      <c r="K42" t="s">
        <v>396</v>
      </c>
      <c r="L42" t="s">
        <v>396</v>
      </c>
      <c r="M42" t="s">
        <v>396</v>
      </c>
      <c r="N42" t="s">
        <v>396</v>
      </c>
      <c r="O42" t="s">
        <v>396</v>
      </c>
      <c r="P42" t="s">
        <v>396</v>
      </c>
    </row>
    <row r="43" spans="2:16" x14ac:dyDescent="0.35">
      <c r="B43">
        <v>43</v>
      </c>
      <c r="C43" t="s">
        <v>250</v>
      </c>
      <c r="D43" t="s">
        <v>227</v>
      </c>
      <c r="E43" t="s">
        <v>276</v>
      </c>
      <c r="F43" t="s">
        <v>564</v>
      </c>
      <c r="G43" t="s">
        <v>565</v>
      </c>
      <c r="H43" t="s">
        <v>566</v>
      </c>
      <c r="I43" t="s">
        <v>567</v>
      </c>
      <c r="J43" t="s">
        <v>568</v>
      </c>
      <c r="K43" t="s">
        <v>569</v>
      </c>
      <c r="L43" t="s">
        <v>570</v>
      </c>
      <c r="M43" t="s">
        <v>571</v>
      </c>
      <c r="N43" t="s">
        <v>560</v>
      </c>
      <c r="O43" t="s">
        <v>572</v>
      </c>
      <c r="P43" t="s">
        <v>580</v>
      </c>
    </row>
    <row r="44" spans="2:16" x14ac:dyDescent="0.35">
      <c r="B44">
        <v>44</v>
      </c>
      <c r="C44" t="s">
        <v>250</v>
      </c>
      <c r="D44" t="s">
        <v>227</v>
      </c>
      <c r="E44" t="s">
        <v>277</v>
      </c>
      <c r="F44" t="s">
        <v>408</v>
      </c>
      <c r="G44" t="s">
        <v>409</v>
      </c>
      <c r="H44" t="s">
        <v>410</v>
      </c>
      <c r="I44" t="s">
        <v>356</v>
      </c>
      <c r="J44" t="s">
        <v>411</v>
      </c>
      <c r="K44" t="s">
        <v>412</v>
      </c>
      <c r="L44" t="s">
        <v>312</v>
      </c>
      <c r="M44" t="s">
        <v>413</v>
      </c>
      <c r="N44" t="s">
        <v>414</v>
      </c>
      <c r="O44" t="s">
        <v>313</v>
      </c>
      <c r="P44" t="s">
        <v>415</v>
      </c>
    </row>
    <row r="45" spans="2:16" x14ac:dyDescent="0.35">
      <c r="B45">
        <v>45</v>
      </c>
      <c r="C45" t="s">
        <v>250</v>
      </c>
      <c r="D45" t="s">
        <v>227</v>
      </c>
      <c r="E45" t="s">
        <v>272</v>
      </c>
      <c r="F45" t="s">
        <v>315</v>
      </c>
      <c r="G45" t="s">
        <v>416</v>
      </c>
      <c r="H45" t="s">
        <v>417</v>
      </c>
      <c r="I45" t="s">
        <v>418</v>
      </c>
      <c r="J45" t="s">
        <v>419</v>
      </c>
      <c r="K45" t="s">
        <v>420</v>
      </c>
      <c r="L45" t="s">
        <v>421</v>
      </c>
      <c r="M45" t="s">
        <v>422</v>
      </c>
      <c r="N45" t="s">
        <v>423</v>
      </c>
      <c r="O45" t="s">
        <v>424</v>
      </c>
      <c r="P45" t="s">
        <v>314</v>
      </c>
    </row>
    <row r="46" spans="2:16" x14ac:dyDescent="0.35">
      <c r="B46">
        <v>46</v>
      </c>
      <c r="C46" t="s">
        <v>250</v>
      </c>
      <c r="D46" t="s">
        <v>14</v>
      </c>
      <c r="E46" t="s">
        <v>278</v>
      </c>
      <c r="F46" t="s">
        <v>396</v>
      </c>
      <c r="G46" t="s">
        <v>396</v>
      </c>
      <c r="H46" t="s">
        <v>396</v>
      </c>
      <c r="I46" t="s">
        <v>396</v>
      </c>
      <c r="J46" t="s">
        <v>396</v>
      </c>
      <c r="K46" t="s">
        <v>396</v>
      </c>
      <c r="L46" t="s">
        <v>396</v>
      </c>
      <c r="M46" t="s">
        <v>396</v>
      </c>
      <c r="N46" t="s">
        <v>396</v>
      </c>
      <c r="O46" t="s">
        <v>396</v>
      </c>
      <c r="P46" t="s">
        <v>396</v>
      </c>
    </row>
    <row r="47" spans="2:16" x14ac:dyDescent="0.35">
      <c r="B47">
        <v>47</v>
      </c>
      <c r="C47" t="s">
        <v>250</v>
      </c>
      <c r="D47" t="s">
        <v>227</v>
      </c>
      <c r="E47" t="s">
        <v>278</v>
      </c>
      <c r="F47" t="s">
        <v>396</v>
      </c>
      <c r="G47" t="s">
        <v>396</v>
      </c>
      <c r="H47" t="s">
        <v>396</v>
      </c>
      <c r="I47" t="s">
        <v>396</v>
      </c>
      <c r="J47" t="s">
        <v>396</v>
      </c>
      <c r="K47" t="s">
        <v>396</v>
      </c>
      <c r="L47" t="s">
        <v>396</v>
      </c>
      <c r="M47" t="s">
        <v>396</v>
      </c>
      <c r="N47" t="s">
        <v>396</v>
      </c>
      <c r="O47" t="s">
        <v>396</v>
      </c>
      <c r="P47" t="s">
        <v>396</v>
      </c>
    </row>
    <row r="48" spans="2:16" x14ac:dyDescent="0.35">
      <c r="B48">
        <v>48</v>
      </c>
      <c r="C48" t="s">
        <v>250</v>
      </c>
      <c r="D48" t="s">
        <v>227</v>
      </c>
      <c r="E48" t="s">
        <v>279</v>
      </c>
      <c r="F48" t="s">
        <v>309</v>
      </c>
      <c r="G48" t="s">
        <v>425</v>
      </c>
      <c r="H48" t="s">
        <v>426</v>
      </c>
      <c r="I48" t="s">
        <v>427</v>
      </c>
      <c r="J48" t="s">
        <v>311</v>
      </c>
      <c r="K48" t="s">
        <v>428</v>
      </c>
      <c r="L48" t="s">
        <v>429</v>
      </c>
      <c r="M48" t="s">
        <v>310</v>
      </c>
      <c r="N48" t="s">
        <v>430</v>
      </c>
      <c r="O48" t="s">
        <v>431</v>
      </c>
      <c r="P48" t="s">
        <v>432</v>
      </c>
    </row>
    <row r="49" spans="2:16" x14ac:dyDescent="0.35">
      <c r="B49">
        <v>49</v>
      </c>
      <c r="C49" t="s">
        <v>250</v>
      </c>
      <c r="D49" t="s">
        <v>14</v>
      </c>
      <c r="E49" t="s">
        <v>280</v>
      </c>
      <c r="F49" t="s">
        <v>396</v>
      </c>
      <c r="G49" t="s">
        <v>396</v>
      </c>
      <c r="H49" t="s">
        <v>396</v>
      </c>
      <c r="I49" t="s">
        <v>396</v>
      </c>
      <c r="J49" t="s">
        <v>396</v>
      </c>
      <c r="K49" t="s">
        <v>396</v>
      </c>
      <c r="L49" t="s">
        <v>396</v>
      </c>
      <c r="M49" t="s">
        <v>396</v>
      </c>
      <c r="N49" t="s">
        <v>396</v>
      </c>
      <c r="O49" t="s">
        <v>396</v>
      </c>
      <c r="P49" t="s">
        <v>396</v>
      </c>
    </row>
    <row r="50" spans="2:16" x14ac:dyDescent="0.35">
      <c r="B50">
        <v>50</v>
      </c>
      <c r="C50" t="s">
        <v>250</v>
      </c>
      <c r="D50" t="s">
        <v>227</v>
      </c>
      <c r="E50" t="s">
        <v>280</v>
      </c>
      <c r="F50" t="s">
        <v>396</v>
      </c>
      <c r="G50" t="s">
        <v>396</v>
      </c>
      <c r="H50" t="s">
        <v>396</v>
      </c>
      <c r="I50" t="s">
        <v>396</v>
      </c>
      <c r="J50" t="s">
        <v>396</v>
      </c>
      <c r="K50" t="s">
        <v>396</v>
      </c>
      <c r="L50" t="s">
        <v>396</v>
      </c>
      <c r="M50" t="s">
        <v>396</v>
      </c>
      <c r="N50" t="s">
        <v>396</v>
      </c>
      <c r="O50" t="s">
        <v>396</v>
      </c>
      <c r="P50" t="s">
        <v>396</v>
      </c>
    </row>
    <row r="51" spans="2:16" x14ac:dyDescent="0.35">
      <c r="B51">
        <v>51</v>
      </c>
      <c r="C51" t="s">
        <v>250</v>
      </c>
      <c r="D51" t="s">
        <v>227</v>
      </c>
      <c r="E51" t="s">
        <v>281</v>
      </c>
      <c r="F51" t="s">
        <v>316</v>
      </c>
      <c r="G51" t="s">
        <v>433</v>
      </c>
      <c r="H51" t="s">
        <v>434</v>
      </c>
      <c r="I51" t="s">
        <v>435</v>
      </c>
      <c r="J51" t="s">
        <v>436</v>
      </c>
      <c r="K51" t="s">
        <v>437</v>
      </c>
      <c r="L51" t="s">
        <v>438</v>
      </c>
      <c r="M51" t="s">
        <v>439</v>
      </c>
      <c r="N51" t="s">
        <v>440</v>
      </c>
      <c r="O51" t="s">
        <v>441</v>
      </c>
      <c r="P51" t="s">
        <v>442</v>
      </c>
    </row>
    <row r="52" spans="2:16" x14ac:dyDescent="0.35">
      <c r="B52">
        <v>52</v>
      </c>
      <c r="C52" t="s">
        <v>250</v>
      </c>
      <c r="D52" t="s">
        <v>14</v>
      </c>
      <c r="E52" t="s">
        <v>270</v>
      </c>
      <c r="F52" t="s">
        <v>396</v>
      </c>
      <c r="G52" t="s">
        <v>396</v>
      </c>
      <c r="H52" t="s">
        <v>396</v>
      </c>
      <c r="I52" t="s">
        <v>396</v>
      </c>
      <c r="J52" t="s">
        <v>396</v>
      </c>
      <c r="K52" t="s">
        <v>396</v>
      </c>
      <c r="L52" t="s">
        <v>396</v>
      </c>
      <c r="M52" t="s">
        <v>396</v>
      </c>
      <c r="N52" t="s">
        <v>396</v>
      </c>
      <c r="O52" t="s">
        <v>396</v>
      </c>
      <c r="P52" t="s">
        <v>396</v>
      </c>
    </row>
    <row r="53" spans="2:16" x14ac:dyDescent="0.35">
      <c r="B53">
        <v>53</v>
      </c>
      <c r="C53" t="s">
        <v>250</v>
      </c>
      <c r="D53" t="s">
        <v>227</v>
      </c>
      <c r="E53" t="s">
        <v>270</v>
      </c>
      <c r="F53" t="s">
        <v>443</v>
      </c>
      <c r="G53" t="s">
        <v>322</v>
      </c>
      <c r="H53" t="s">
        <v>342</v>
      </c>
      <c r="I53" t="s">
        <v>444</v>
      </c>
      <c r="J53" t="s">
        <v>445</v>
      </c>
      <c r="K53" t="s">
        <v>446</v>
      </c>
      <c r="L53" t="s">
        <v>324</v>
      </c>
      <c r="M53" t="s">
        <v>325</v>
      </c>
      <c r="N53" t="s">
        <v>447</v>
      </c>
      <c r="O53" t="s">
        <v>448</v>
      </c>
      <c r="P53" t="s">
        <v>323</v>
      </c>
    </row>
    <row r="54" spans="2:16" x14ac:dyDescent="0.35">
      <c r="B54">
        <v>54</v>
      </c>
      <c r="C54" t="s">
        <v>250</v>
      </c>
      <c r="D54" t="s">
        <v>14</v>
      </c>
      <c r="E54" t="s">
        <v>282</v>
      </c>
      <c r="F54" t="s">
        <v>396</v>
      </c>
      <c r="G54" t="s">
        <v>396</v>
      </c>
      <c r="H54" t="s">
        <v>396</v>
      </c>
      <c r="I54" t="s">
        <v>396</v>
      </c>
      <c r="J54" t="s">
        <v>396</v>
      </c>
      <c r="K54" t="s">
        <v>396</v>
      </c>
      <c r="L54" t="s">
        <v>396</v>
      </c>
      <c r="M54" t="s">
        <v>396</v>
      </c>
      <c r="N54" t="s">
        <v>396</v>
      </c>
      <c r="O54" t="s">
        <v>396</v>
      </c>
      <c r="P54" t="s">
        <v>396</v>
      </c>
    </row>
    <row r="55" spans="2:16" x14ac:dyDescent="0.35">
      <c r="B55">
        <v>55</v>
      </c>
      <c r="C55" t="s">
        <v>250</v>
      </c>
      <c r="D55" t="s">
        <v>227</v>
      </c>
      <c r="E55" t="s">
        <v>282</v>
      </c>
      <c r="F55" t="s">
        <v>396</v>
      </c>
      <c r="G55" t="s">
        <v>396</v>
      </c>
      <c r="H55" t="s">
        <v>396</v>
      </c>
      <c r="I55" t="s">
        <v>396</v>
      </c>
      <c r="J55" t="s">
        <v>396</v>
      </c>
      <c r="K55" t="s">
        <v>396</v>
      </c>
      <c r="L55" t="s">
        <v>396</v>
      </c>
      <c r="M55" t="s">
        <v>396</v>
      </c>
      <c r="N55" t="s">
        <v>396</v>
      </c>
      <c r="O55" t="s">
        <v>396</v>
      </c>
      <c r="P55" t="s">
        <v>396</v>
      </c>
    </row>
    <row r="56" spans="2:16" x14ac:dyDescent="0.35">
      <c r="B56">
        <v>56</v>
      </c>
      <c r="C56" t="s">
        <v>250</v>
      </c>
      <c r="D56" t="s">
        <v>227</v>
      </c>
      <c r="E56" t="s">
        <v>283</v>
      </c>
      <c r="F56" t="s">
        <v>449</v>
      </c>
      <c r="G56" t="s">
        <v>450</v>
      </c>
      <c r="H56" t="s">
        <v>451</v>
      </c>
      <c r="I56" t="s">
        <v>318</v>
      </c>
      <c r="J56" t="s">
        <v>452</v>
      </c>
      <c r="K56" t="s">
        <v>453</v>
      </c>
      <c r="L56" t="s">
        <v>454</v>
      </c>
      <c r="M56" t="s">
        <v>455</v>
      </c>
      <c r="N56" t="s">
        <v>456</v>
      </c>
      <c r="O56" t="s">
        <v>457</v>
      </c>
      <c r="P56" t="s">
        <v>458</v>
      </c>
    </row>
    <row r="57" spans="2:16" x14ac:dyDescent="0.35">
      <c r="B57">
        <v>57</v>
      </c>
      <c r="C57" t="s">
        <v>250</v>
      </c>
      <c r="D57" t="s">
        <v>227</v>
      </c>
      <c r="E57" t="s">
        <v>273</v>
      </c>
      <c r="F57" t="s">
        <v>581</v>
      </c>
      <c r="G57" t="s">
        <v>459</v>
      </c>
      <c r="H57" t="s">
        <v>582</v>
      </c>
      <c r="I57" t="s">
        <v>583</v>
      </c>
      <c r="J57" t="s">
        <v>584</v>
      </c>
      <c r="K57" t="s">
        <v>585</v>
      </c>
      <c r="L57" t="s">
        <v>586</v>
      </c>
      <c r="M57" t="s">
        <v>460</v>
      </c>
      <c r="N57" t="s">
        <v>319</v>
      </c>
      <c r="O57" t="s">
        <v>587</v>
      </c>
      <c r="P57" t="s">
        <v>588</v>
      </c>
    </row>
    <row r="58" spans="2:16" x14ac:dyDescent="0.35">
      <c r="B58">
        <v>58</v>
      </c>
      <c r="C58" t="s">
        <v>250</v>
      </c>
      <c r="D58" t="s">
        <v>14</v>
      </c>
      <c r="E58" t="s">
        <v>284</v>
      </c>
      <c r="F58" t="s">
        <v>396</v>
      </c>
      <c r="G58" t="s">
        <v>396</v>
      </c>
      <c r="H58" t="s">
        <v>396</v>
      </c>
      <c r="I58" t="s">
        <v>396</v>
      </c>
      <c r="J58" t="s">
        <v>396</v>
      </c>
      <c r="K58" t="s">
        <v>396</v>
      </c>
      <c r="L58" t="s">
        <v>396</v>
      </c>
      <c r="M58" t="s">
        <v>396</v>
      </c>
      <c r="N58" t="s">
        <v>396</v>
      </c>
      <c r="O58" t="s">
        <v>396</v>
      </c>
      <c r="P58" t="s">
        <v>396</v>
      </c>
    </row>
    <row r="59" spans="2:16" x14ac:dyDescent="0.35">
      <c r="B59">
        <v>59</v>
      </c>
      <c r="C59" t="s">
        <v>250</v>
      </c>
      <c r="D59" t="s">
        <v>227</v>
      </c>
      <c r="E59" t="s">
        <v>284</v>
      </c>
      <c r="F59" t="s">
        <v>396</v>
      </c>
      <c r="G59" t="s">
        <v>396</v>
      </c>
      <c r="H59" t="s">
        <v>396</v>
      </c>
      <c r="I59" t="s">
        <v>396</v>
      </c>
      <c r="J59" t="s">
        <v>396</v>
      </c>
      <c r="K59" t="s">
        <v>396</v>
      </c>
      <c r="L59" t="s">
        <v>396</v>
      </c>
      <c r="M59" t="s">
        <v>396</v>
      </c>
      <c r="N59" t="s">
        <v>396</v>
      </c>
      <c r="O59" t="s">
        <v>396</v>
      </c>
      <c r="P59" t="s">
        <v>396</v>
      </c>
    </row>
    <row r="60" spans="2:16" x14ac:dyDescent="0.35">
      <c r="B60">
        <v>60</v>
      </c>
      <c r="C60" t="s">
        <v>190</v>
      </c>
      <c r="D60" t="s">
        <v>14</v>
      </c>
      <c r="F60" t="s">
        <v>396</v>
      </c>
      <c r="G60" t="s">
        <v>396</v>
      </c>
      <c r="H60" t="s">
        <v>396</v>
      </c>
      <c r="I60" t="s">
        <v>396</v>
      </c>
      <c r="J60" t="s">
        <v>396</v>
      </c>
      <c r="K60" t="s">
        <v>396</v>
      </c>
      <c r="L60" t="s">
        <v>396</v>
      </c>
      <c r="M60" t="s">
        <v>396</v>
      </c>
      <c r="N60" t="s">
        <v>396</v>
      </c>
      <c r="O60" t="s">
        <v>396</v>
      </c>
      <c r="P60" t="s">
        <v>396</v>
      </c>
    </row>
    <row r="61" spans="2:16" x14ac:dyDescent="0.35">
      <c r="B61">
        <v>61</v>
      </c>
      <c r="C61" t="s">
        <v>190</v>
      </c>
      <c r="D61" t="s">
        <v>227</v>
      </c>
      <c r="F61" t="s">
        <v>396</v>
      </c>
      <c r="G61" t="s">
        <v>396</v>
      </c>
      <c r="H61" t="s">
        <v>396</v>
      </c>
      <c r="I61" t="s">
        <v>396</v>
      </c>
      <c r="J61" t="s">
        <v>396</v>
      </c>
      <c r="K61" t="s">
        <v>396</v>
      </c>
      <c r="L61" t="s">
        <v>396</v>
      </c>
      <c r="M61" t="s">
        <v>396</v>
      </c>
      <c r="N61" t="s">
        <v>396</v>
      </c>
      <c r="O61" t="s">
        <v>396</v>
      </c>
      <c r="P61" t="s">
        <v>396</v>
      </c>
    </row>
    <row r="62" spans="2:16" x14ac:dyDescent="0.35">
      <c r="B62">
        <v>62</v>
      </c>
      <c r="C62" t="s">
        <v>286</v>
      </c>
      <c r="D62" t="s">
        <v>14</v>
      </c>
      <c r="F62" t="s">
        <v>287</v>
      </c>
      <c r="G62" t="s">
        <v>545</v>
      </c>
      <c r="H62" t="s">
        <v>546</v>
      </c>
      <c r="I62" t="s">
        <v>547</v>
      </c>
      <c r="J62" t="s">
        <v>289</v>
      </c>
      <c r="K62" t="s">
        <v>548</v>
      </c>
      <c r="L62" t="s">
        <v>290</v>
      </c>
      <c r="M62" t="s">
        <v>549</v>
      </c>
      <c r="N62" t="s">
        <v>306</v>
      </c>
      <c r="O62" t="s">
        <v>550</v>
      </c>
      <c r="P62" t="s">
        <v>551</v>
      </c>
    </row>
    <row r="63" spans="2:16" x14ac:dyDescent="0.35">
      <c r="B63">
        <v>63</v>
      </c>
      <c r="C63" t="s">
        <v>286</v>
      </c>
      <c r="D63" t="s">
        <v>14</v>
      </c>
      <c r="F63" t="s">
        <v>288</v>
      </c>
      <c r="G63" t="s">
        <v>552</v>
      </c>
      <c r="H63" t="s">
        <v>553</v>
      </c>
      <c r="I63" t="s">
        <v>554</v>
      </c>
      <c r="J63" t="s">
        <v>555</v>
      </c>
      <c r="K63" t="s">
        <v>291</v>
      </c>
      <c r="L63" t="s">
        <v>292</v>
      </c>
      <c r="M63" t="s">
        <v>293</v>
      </c>
      <c r="N63" t="s">
        <v>556</v>
      </c>
      <c r="O63" t="s">
        <v>557</v>
      </c>
      <c r="P63" t="s">
        <v>558</v>
      </c>
    </row>
    <row r="64" spans="2:16" x14ac:dyDescent="0.35">
      <c r="B64">
        <v>64</v>
      </c>
      <c r="C64" t="s">
        <v>286</v>
      </c>
      <c r="D64" t="s">
        <v>227</v>
      </c>
      <c r="F64" t="s">
        <v>294</v>
      </c>
      <c r="G64" t="s">
        <v>461</v>
      </c>
      <c r="H64" t="s">
        <v>298</v>
      </c>
      <c r="I64" t="s">
        <v>462</v>
      </c>
      <c r="J64" t="s">
        <v>299</v>
      </c>
      <c r="K64" t="s">
        <v>301</v>
      </c>
      <c r="L64" t="s">
        <v>463</v>
      </c>
      <c r="M64" t="s">
        <v>464</v>
      </c>
      <c r="N64" t="s">
        <v>296</v>
      </c>
      <c r="O64" t="s">
        <v>297</v>
      </c>
      <c r="P64" t="s">
        <v>302</v>
      </c>
    </row>
    <row r="65" spans="2:20" x14ac:dyDescent="0.35">
      <c r="B65">
        <v>65</v>
      </c>
      <c r="C65" t="s">
        <v>286</v>
      </c>
      <c r="D65" t="s">
        <v>227</v>
      </c>
      <c r="F65" t="s">
        <v>295</v>
      </c>
      <c r="G65" t="s">
        <v>465</v>
      </c>
      <c r="H65" t="s">
        <v>466</v>
      </c>
      <c r="I65" t="s">
        <v>467</v>
      </c>
      <c r="J65" t="s">
        <v>468</v>
      </c>
      <c r="K65" t="s">
        <v>304</v>
      </c>
      <c r="L65" t="s">
        <v>305</v>
      </c>
      <c r="M65" t="s">
        <v>469</v>
      </c>
      <c r="N65" t="s">
        <v>470</v>
      </c>
      <c r="O65" t="s">
        <v>303</v>
      </c>
      <c r="P65" t="s">
        <v>300</v>
      </c>
    </row>
    <row r="66" spans="2:20" x14ac:dyDescent="0.35">
      <c r="B66">
        <v>66</v>
      </c>
      <c r="C66" t="s">
        <v>159</v>
      </c>
      <c r="D66" t="s">
        <v>589</v>
      </c>
      <c r="E66" t="s">
        <v>590</v>
      </c>
      <c r="F66" t="s">
        <v>396</v>
      </c>
      <c r="G66" t="s">
        <v>396</v>
      </c>
      <c r="H66" t="s">
        <v>396</v>
      </c>
      <c r="I66" t="s">
        <v>396</v>
      </c>
      <c r="J66" t="s">
        <v>396</v>
      </c>
      <c r="K66" t="s">
        <v>396</v>
      </c>
      <c r="L66" t="s">
        <v>396</v>
      </c>
      <c r="M66" t="s">
        <v>396</v>
      </c>
      <c r="N66" t="s">
        <v>396</v>
      </c>
      <c r="O66" t="s">
        <v>396</v>
      </c>
      <c r="P66" t="s">
        <v>396</v>
      </c>
    </row>
    <row r="67" spans="2:20" x14ac:dyDescent="0.35">
      <c r="B67">
        <v>67</v>
      </c>
      <c r="C67" t="s">
        <v>159</v>
      </c>
      <c r="D67" t="s">
        <v>227</v>
      </c>
      <c r="E67" t="s">
        <v>590</v>
      </c>
    </row>
    <row r="68" spans="2:20" x14ac:dyDescent="0.35">
      <c r="B68">
        <v>68</v>
      </c>
      <c r="C68" t="s">
        <v>159</v>
      </c>
      <c r="D68" t="s">
        <v>14</v>
      </c>
      <c r="E68" t="s">
        <v>590</v>
      </c>
    </row>
    <row r="69" spans="2:20" x14ac:dyDescent="0.35">
      <c r="B69">
        <v>69</v>
      </c>
      <c r="C69" t="s">
        <v>592</v>
      </c>
      <c r="D69" t="s">
        <v>14</v>
      </c>
      <c r="E69" t="s">
        <v>591</v>
      </c>
      <c r="T69" t="str">
        <f>TRIM(T3)</f>
        <v/>
      </c>
    </row>
    <row r="70" spans="2:20" x14ac:dyDescent="0.35">
      <c r="B70">
        <v>70</v>
      </c>
      <c r="C70" t="s">
        <v>592</v>
      </c>
      <c r="D70" t="s">
        <v>227</v>
      </c>
      <c r="E70" t="s">
        <v>591</v>
      </c>
      <c r="T70" t="str">
        <f>TRIM(T4)</f>
        <v/>
      </c>
    </row>
    <row r="71" spans="2:20" x14ac:dyDescent="0.35">
      <c r="B71">
        <v>71</v>
      </c>
      <c r="C71" t="s">
        <v>592</v>
      </c>
      <c r="D71" t="s">
        <v>14</v>
      </c>
      <c r="E71" t="s">
        <v>593</v>
      </c>
      <c r="T71" t="str">
        <f>TRIM(T5)</f>
        <v/>
      </c>
    </row>
    <row r="72" spans="2:20" x14ac:dyDescent="0.35">
      <c r="B72">
        <v>72</v>
      </c>
      <c r="C72" t="s">
        <v>592</v>
      </c>
      <c r="D72" t="s">
        <v>227</v>
      </c>
      <c r="E72" t="s">
        <v>593</v>
      </c>
      <c r="T72" t="str">
        <f>TRIM(T6)</f>
        <v/>
      </c>
    </row>
    <row r="73" spans="2:20" x14ac:dyDescent="0.35">
      <c r="B73">
        <v>73</v>
      </c>
      <c r="C73" t="s">
        <v>592</v>
      </c>
      <c r="D73" t="s">
        <v>14</v>
      </c>
      <c r="E73" t="s">
        <v>594</v>
      </c>
      <c r="T73" t="str">
        <f>TRIM(T7)</f>
        <v/>
      </c>
    </row>
    <row r="74" spans="2:20" x14ac:dyDescent="0.35">
      <c r="B74">
        <v>74</v>
      </c>
      <c r="C74" t="s">
        <v>592</v>
      </c>
      <c r="D74" t="s">
        <v>227</v>
      </c>
      <c r="E74" t="s">
        <v>594</v>
      </c>
      <c r="T74" t="str">
        <f>TRIM(T8)</f>
        <v/>
      </c>
    </row>
    <row r="75" spans="2:20" x14ac:dyDescent="0.35">
      <c r="B75">
        <v>75</v>
      </c>
      <c r="C75" t="s">
        <v>592</v>
      </c>
      <c r="D75" t="s">
        <v>14</v>
      </c>
      <c r="E75" t="s">
        <v>595</v>
      </c>
      <c r="T75" t="str">
        <f>TRIM(T9)</f>
        <v/>
      </c>
    </row>
    <row r="76" spans="2:20" x14ac:dyDescent="0.35">
      <c r="B76">
        <v>76</v>
      </c>
      <c r="C76" t="s">
        <v>592</v>
      </c>
      <c r="D76" t="s">
        <v>227</v>
      </c>
      <c r="E76" t="s">
        <v>595</v>
      </c>
      <c r="T76" t="str">
        <f>TRIM(T10)</f>
        <v/>
      </c>
    </row>
    <row r="77" spans="2:20" x14ac:dyDescent="0.35">
      <c r="B77">
        <v>77</v>
      </c>
      <c r="C77" t="s">
        <v>592</v>
      </c>
      <c r="D77" t="s">
        <v>14</v>
      </c>
      <c r="E77" t="s">
        <v>600</v>
      </c>
      <c r="T77" t="str">
        <f>TRIM(T11)</f>
        <v/>
      </c>
    </row>
    <row r="78" spans="2:20" x14ac:dyDescent="0.35">
      <c r="B78">
        <v>78</v>
      </c>
      <c r="C78" t="s">
        <v>592</v>
      </c>
      <c r="D78" t="s">
        <v>227</v>
      </c>
      <c r="E78" t="s">
        <v>600</v>
      </c>
      <c r="T78" t="str">
        <f>TRIM(T12)</f>
        <v/>
      </c>
    </row>
    <row r="79" spans="2:20" x14ac:dyDescent="0.35">
      <c r="B79">
        <v>79</v>
      </c>
      <c r="C79" t="s">
        <v>592</v>
      </c>
      <c r="D79" t="s">
        <v>14</v>
      </c>
      <c r="E79" t="s">
        <v>601</v>
      </c>
      <c r="T79" t="str">
        <f>TRIM(T13)</f>
        <v/>
      </c>
    </row>
    <row r="80" spans="2:20" x14ac:dyDescent="0.35">
      <c r="B80">
        <v>80</v>
      </c>
      <c r="C80" t="s">
        <v>592</v>
      </c>
      <c r="D80" t="s">
        <v>227</v>
      </c>
      <c r="E80" t="s">
        <v>601</v>
      </c>
      <c r="T80" t="str">
        <f>TRIM(T14)</f>
        <v/>
      </c>
    </row>
    <row r="81" spans="2:20" x14ac:dyDescent="0.35">
      <c r="B81">
        <v>81</v>
      </c>
      <c r="C81" t="s">
        <v>592</v>
      </c>
      <c r="D81" t="s">
        <v>14</v>
      </c>
      <c r="E81" t="s">
        <v>602</v>
      </c>
      <c r="T81" t="str">
        <f>TRIM(T15)</f>
        <v/>
      </c>
    </row>
    <row r="82" spans="2:20" x14ac:dyDescent="0.35">
      <c r="B82">
        <v>82</v>
      </c>
      <c r="C82" t="s">
        <v>592</v>
      </c>
      <c r="D82" t="s">
        <v>227</v>
      </c>
      <c r="E82" t="s">
        <v>602</v>
      </c>
      <c r="T82" t="str">
        <f>TRIM(T16)</f>
        <v/>
      </c>
    </row>
    <row r="83" spans="2:20" x14ac:dyDescent="0.35">
      <c r="B83">
        <v>83</v>
      </c>
      <c r="C83" t="s">
        <v>592</v>
      </c>
      <c r="D83" t="s">
        <v>14</v>
      </c>
      <c r="E83" t="s">
        <v>599</v>
      </c>
      <c r="T83" t="str">
        <f>TRIM(T17)</f>
        <v/>
      </c>
    </row>
    <row r="84" spans="2:20" x14ac:dyDescent="0.35">
      <c r="B84">
        <v>84</v>
      </c>
      <c r="C84" t="s">
        <v>592</v>
      </c>
      <c r="D84" t="s">
        <v>227</v>
      </c>
      <c r="E84" t="s">
        <v>599</v>
      </c>
      <c r="T84" t="str">
        <f>TRIM(T18)</f>
        <v/>
      </c>
    </row>
    <row r="85" spans="2:20" x14ac:dyDescent="0.35">
      <c r="B85">
        <v>85</v>
      </c>
      <c r="C85" t="s">
        <v>592</v>
      </c>
      <c r="D85" t="s">
        <v>14</v>
      </c>
      <c r="E85" t="s">
        <v>598</v>
      </c>
      <c r="T85" t="str">
        <f>TRIM(T19)</f>
        <v/>
      </c>
    </row>
    <row r="86" spans="2:20" x14ac:dyDescent="0.35">
      <c r="B86">
        <v>86</v>
      </c>
      <c r="C86" t="s">
        <v>592</v>
      </c>
      <c r="D86" t="s">
        <v>227</v>
      </c>
      <c r="E86" t="s">
        <v>598</v>
      </c>
      <c r="T86" t="str">
        <f>TRIM(T20)</f>
        <v/>
      </c>
    </row>
    <row r="87" spans="2:20" x14ac:dyDescent="0.35">
      <c r="B87">
        <v>87</v>
      </c>
      <c r="C87" t="s">
        <v>592</v>
      </c>
      <c r="D87" t="s">
        <v>14</v>
      </c>
      <c r="E87" t="s">
        <v>597</v>
      </c>
      <c r="T87" t="str">
        <f>TRIM(T21)</f>
        <v/>
      </c>
    </row>
    <row r="88" spans="2:20" x14ac:dyDescent="0.35">
      <c r="B88">
        <v>88</v>
      </c>
      <c r="C88" t="s">
        <v>592</v>
      </c>
      <c r="D88" t="s">
        <v>227</v>
      </c>
      <c r="E88" t="s">
        <v>597</v>
      </c>
      <c r="T88" t="str">
        <f>TRIM(T22)</f>
        <v/>
      </c>
    </row>
    <row r="89" spans="2:20" x14ac:dyDescent="0.35">
      <c r="B89">
        <v>89</v>
      </c>
      <c r="C89" t="s">
        <v>592</v>
      </c>
      <c r="D89" t="s">
        <v>14</v>
      </c>
      <c r="E89" t="s">
        <v>596</v>
      </c>
      <c r="T89" t="str">
        <f>TRIM(T23)</f>
        <v/>
      </c>
    </row>
    <row r="90" spans="2:20" x14ac:dyDescent="0.35">
      <c r="B90">
        <v>90</v>
      </c>
      <c r="C90" t="s">
        <v>592</v>
      </c>
      <c r="D90" t="s">
        <v>227</v>
      </c>
      <c r="E90" t="s">
        <v>596</v>
      </c>
      <c r="T90" t="str">
        <f>TRIM(T24)</f>
        <v/>
      </c>
    </row>
    <row r="91" spans="2:20" x14ac:dyDescent="0.35">
      <c r="B91">
        <v>91</v>
      </c>
      <c r="C91" t="s">
        <v>603</v>
      </c>
      <c r="D91" t="s">
        <v>227</v>
      </c>
      <c r="E91" t="s">
        <v>592</v>
      </c>
      <c r="T91" t="str">
        <f>TRIM(T25)</f>
        <v/>
      </c>
    </row>
    <row r="92" spans="2:20" x14ac:dyDescent="0.35">
      <c r="B92">
        <v>92</v>
      </c>
      <c r="C92" t="s">
        <v>603</v>
      </c>
      <c r="D92" t="s">
        <v>14</v>
      </c>
      <c r="E92" t="s">
        <v>592</v>
      </c>
      <c r="T92" t="str">
        <f>TRIM(T26)</f>
        <v/>
      </c>
    </row>
    <row r="93" spans="2:20" x14ac:dyDescent="0.35">
      <c r="B93">
        <v>93</v>
      </c>
      <c r="D93" t="s">
        <v>604</v>
      </c>
      <c r="T93" t="str">
        <f>TRIM(T27)</f>
        <v/>
      </c>
    </row>
    <row r="94" spans="2:20" x14ac:dyDescent="0.35">
      <c r="B94">
        <v>95</v>
      </c>
      <c r="D94" t="s">
        <v>604</v>
      </c>
      <c r="T94" t="str">
        <f>TRIM(T28)</f>
        <v/>
      </c>
    </row>
    <row r="95" spans="2:20" x14ac:dyDescent="0.35">
      <c r="T95" t="str">
        <f>TRIM(T29)</f>
        <v/>
      </c>
    </row>
    <row r="96" spans="2:20" x14ac:dyDescent="0.35">
      <c r="T96" t="str">
        <f>TRIM(T30)</f>
        <v/>
      </c>
    </row>
    <row r="97" spans="20:20" x14ac:dyDescent="0.35">
      <c r="T97" t="str">
        <f>TRIM(T31)</f>
        <v/>
      </c>
    </row>
    <row r="98" spans="20:20" x14ac:dyDescent="0.35">
      <c r="T98" t="str">
        <f>TRIM(T32)</f>
        <v/>
      </c>
    </row>
    <row r="99" spans="20:20" x14ac:dyDescent="0.35">
      <c r="T99" t="str">
        <f>TRIM(T33)</f>
        <v/>
      </c>
    </row>
    <row r="100" spans="20:20" x14ac:dyDescent="0.35">
      <c r="T100" t="str">
        <f>TRIM(T34)</f>
        <v/>
      </c>
    </row>
    <row r="101" spans="20:20" x14ac:dyDescent="0.35">
      <c r="T101" t="str">
        <f>TRIM(T35)</f>
        <v/>
      </c>
    </row>
    <row r="102" spans="20:20" x14ac:dyDescent="0.35">
      <c r="T102" t="str">
        <f>TRIM(T36)</f>
        <v/>
      </c>
    </row>
    <row r="103" spans="20:20" x14ac:dyDescent="0.35">
      <c r="T103" t="str">
        <f>TRIM(T37)</f>
        <v/>
      </c>
    </row>
    <row r="104" spans="20:20" x14ac:dyDescent="0.35">
      <c r="T104" t="str">
        <f>TRIM(T38)</f>
        <v/>
      </c>
    </row>
    <row r="105" spans="20:20" x14ac:dyDescent="0.35">
      <c r="T105" t="str">
        <f>TRIM(T39)</f>
        <v/>
      </c>
    </row>
    <row r="106" spans="20:20" x14ac:dyDescent="0.35">
      <c r="T106" t="str">
        <f>TRIM(T40)</f>
        <v/>
      </c>
    </row>
    <row r="107" spans="20:20" x14ac:dyDescent="0.35">
      <c r="T107" t="str">
        <f>TRIM(T41)</f>
        <v/>
      </c>
    </row>
    <row r="108" spans="20:20" x14ac:dyDescent="0.35">
      <c r="T108" t="e">
        <f>TRIM(#REF!)</f>
        <v>#REF!</v>
      </c>
    </row>
    <row r="109" spans="20:20" x14ac:dyDescent="0.35">
      <c r="T109" t="str">
        <f t="shared" ref="T109:T114" si="0">TRIM(T42)</f>
        <v/>
      </c>
    </row>
    <row r="110" spans="20:20" x14ac:dyDescent="0.35">
      <c r="T110" t="str">
        <f t="shared" si="0"/>
        <v/>
      </c>
    </row>
    <row r="111" spans="20:20" x14ac:dyDescent="0.35">
      <c r="T111" t="str">
        <f t="shared" si="0"/>
        <v/>
      </c>
    </row>
    <row r="112" spans="20:20" x14ac:dyDescent="0.35">
      <c r="T112" t="str">
        <f t="shared" si="0"/>
        <v/>
      </c>
    </row>
    <row r="113" spans="20:20" x14ac:dyDescent="0.35">
      <c r="T113" t="str">
        <f t="shared" si="0"/>
        <v/>
      </c>
    </row>
    <row r="114" spans="20:20" x14ac:dyDescent="0.35">
      <c r="T114" t="str">
        <f t="shared" si="0"/>
        <v/>
      </c>
    </row>
    <row r="115" spans="20:20" x14ac:dyDescent="0.35">
      <c r="T115" t="str">
        <f t="shared" ref="T115:T130" si="1">TRIM(T48)</f>
        <v/>
      </c>
    </row>
    <row r="116" spans="20:20" x14ac:dyDescent="0.35">
      <c r="T116" t="str">
        <f t="shared" si="1"/>
        <v/>
      </c>
    </row>
    <row r="117" spans="20:20" x14ac:dyDescent="0.35">
      <c r="T117" t="str">
        <f t="shared" si="1"/>
        <v/>
      </c>
    </row>
    <row r="118" spans="20:20" x14ac:dyDescent="0.35">
      <c r="T118" t="str">
        <f t="shared" si="1"/>
        <v/>
      </c>
    </row>
    <row r="119" spans="20:20" x14ac:dyDescent="0.35">
      <c r="T119" t="str">
        <f t="shared" si="1"/>
        <v/>
      </c>
    </row>
    <row r="120" spans="20:20" x14ac:dyDescent="0.35">
      <c r="T120" t="str">
        <f t="shared" si="1"/>
        <v/>
      </c>
    </row>
    <row r="121" spans="20:20" x14ac:dyDescent="0.35">
      <c r="T121" t="str">
        <f t="shared" si="1"/>
        <v/>
      </c>
    </row>
    <row r="122" spans="20:20" x14ac:dyDescent="0.35">
      <c r="T122" t="str">
        <f t="shared" si="1"/>
        <v/>
      </c>
    </row>
    <row r="123" spans="20:20" x14ac:dyDescent="0.35">
      <c r="T123" t="str">
        <f t="shared" si="1"/>
        <v/>
      </c>
    </row>
    <row r="124" spans="20:20" x14ac:dyDescent="0.35">
      <c r="T124" t="str">
        <f t="shared" si="1"/>
        <v/>
      </c>
    </row>
    <row r="125" spans="20:20" x14ac:dyDescent="0.35">
      <c r="T125" t="str">
        <f t="shared" si="1"/>
        <v/>
      </c>
    </row>
    <row r="126" spans="20:20" x14ac:dyDescent="0.35">
      <c r="T126" t="str">
        <f t="shared" si="1"/>
        <v/>
      </c>
    </row>
    <row r="127" spans="20:20" x14ac:dyDescent="0.35">
      <c r="T127" t="str">
        <f t="shared" si="1"/>
        <v/>
      </c>
    </row>
    <row r="128" spans="20:20" x14ac:dyDescent="0.35">
      <c r="T128" t="str">
        <f t="shared" si="1"/>
        <v/>
      </c>
    </row>
    <row r="129" spans="20:20" x14ac:dyDescent="0.35">
      <c r="T129" t="str">
        <f t="shared" si="1"/>
        <v/>
      </c>
    </row>
    <row r="130" spans="20:20" x14ac:dyDescent="0.35">
      <c r="T130" t="str">
        <f t="shared" si="1"/>
        <v/>
      </c>
    </row>
    <row r="131" spans="20:20" x14ac:dyDescent="0.35">
      <c r="T131" t="str">
        <f t="shared" ref="T131:T133" si="2">TRIM(T64)</f>
        <v/>
      </c>
    </row>
    <row r="132" spans="20:20" x14ac:dyDescent="0.35">
      <c r="T132" t="str">
        <f t="shared" si="2"/>
        <v/>
      </c>
    </row>
    <row r="133" spans="20:20" x14ac:dyDescent="0.35">
      <c r="T133" t="str">
        <f t="shared" si="2"/>
        <v/>
      </c>
    </row>
    <row r="134" spans="20:20" x14ac:dyDescent="0.35">
      <c r="T134" t="str">
        <f t="shared" ref="T134:T149" si="3">TRIM(T67)</f>
        <v/>
      </c>
    </row>
    <row r="135" spans="20:20" x14ac:dyDescent="0.35">
      <c r="T135" t="str">
        <f t="shared" si="3"/>
        <v/>
      </c>
    </row>
    <row r="136" spans="20:20" x14ac:dyDescent="0.35">
      <c r="T136" t="str">
        <f t="shared" si="3"/>
        <v/>
      </c>
    </row>
    <row r="137" spans="20:20" x14ac:dyDescent="0.35">
      <c r="T137" t="str">
        <f t="shared" si="3"/>
        <v/>
      </c>
    </row>
    <row r="138" spans="20:20" x14ac:dyDescent="0.35">
      <c r="T138" t="str">
        <f t="shared" si="3"/>
        <v/>
      </c>
    </row>
    <row r="139" spans="20:20" x14ac:dyDescent="0.35">
      <c r="T139" t="str">
        <f t="shared" si="3"/>
        <v/>
      </c>
    </row>
    <row r="140" spans="20:20" x14ac:dyDescent="0.35">
      <c r="T140" t="str">
        <f t="shared" si="3"/>
        <v/>
      </c>
    </row>
    <row r="141" spans="20:20" x14ac:dyDescent="0.35">
      <c r="T141" t="str">
        <f t="shared" si="3"/>
        <v/>
      </c>
    </row>
    <row r="142" spans="20:20" x14ac:dyDescent="0.35">
      <c r="T142" t="str">
        <f t="shared" si="3"/>
        <v/>
      </c>
    </row>
    <row r="143" spans="20:20" x14ac:dyDescent="0.35">
      <c r="T143" t="str">
        <f t="shared" si="3"/>
        <v/>
      </c>
    </row>
    <row r="144" spans="20:20" x14ac:dyDescent="0.35">
      <c r="T144" t="str">
        <f t="shared" si="3"/>
        <v/>
      </c>
    </row>
    <row r="145" spans="20:20" x14ac:dyDescent="0.35">
      <c r="T145" t="str">
        <f t="shared" si="3"/>
        <v/>
      </c>
    </row>
    <row r="146" spans="20:20" x14ac:dyDescent="0.35">
      <c r="T146" t="str">
        <f t="shared" si="3"/>
        <v/>
      </c>
    </row>
    <row r="147" spans="20:20" x14ac:dyDescent="0.35">
      <c r="T147" t="str">
        <f t="shared" si="3"/>
        <v/>
      </c>
    </row>
    <row r="148" spans="20:20" x14ac:dyDescent="0.35">
      <c r="T148" t="str">
        <f t="shared" si="3"/>
        <v/>
      </c>
    </row>
    <row r="149" spans="20:20" x14ac:dyDescent="0.35">
      <c r="T149" t="str">
        <f t="shared" si="3"/>
        <v/>
      </c>
    </row>
    <row r="150" spans="20:20" x14ac:dyDescent="0.35">
      <c r="T150" t="str">
        <f t="shared" ref="T150:T156" si="4">TRIM(T83)</f>
        <v/>
      </c>
    </row>
    <row r="151" spans="20:20" x14ac:dyDescent="0.35">
      <c r="T151" t="str">
        <f t="shared" si="4"/>
        <v/>
      </c>
    </row>
    <row r="152" spans="20:20" x14ac:dyDescent="0.35">
      <c r="T152" t="str">
        <f t="shared" si="4"/>
        <v/>
      </c>
    </row>
    <row r="153" spans="20:20" x14ac:dyDescent="0.35">
      <c r="T153" t="str">
        <f t="shared" si="4"/>
        <v/>
      </c>
    </row>
    <row r="154" spans="20:20" x14ac:dyDescent="0.35">
      <c r="T154" t="str">
        <f t="shared" si="4"/>
        <v/>
      </c>
    </row>
    <row r="155" spans="20:20" x14ac:dyDescent="0.35">
      <c r="T155" t="str">
        <f t="shared" si="4"/>
        <v/>
      </c>
    </row>
    <row r="156" spans="20:20" x14ac:dyDescent="0.35">
      <c r="T156" t="str">
        <f t="shared" si="4"/>
        <v/>
      </c>
    </row>
    <row r="157" spans="20:20" x14ac:dyDescent="0.35">
      <c r="T157" t="str">
        <f t="shared" ref="T157" si="5">TRIM(T90)</f>
        <v/>
      </c>
    </row>
    <row r="158" spans="20:20" x14ac:dyDescent="0.35">
      <c r="T158" t="str">
        <f t="shared" ref="T158:T163" si="6">TRIM(T91)</f>
        <v/>
      </c>
    </row>
    <row r="159" spans="20:20" x14ac:dyDescent="0.35">
      <c r="T159" t="str">
        <f t="shared" si="6"/>
        <v/>
      </c>
    </row>
    <row r="160" spans="20:20" x14ac:dyDescent="0.35">
      <c r="T160" t="str">
        <f t="shared" si="6"/>
        <v/>
      </c>
    </row>
    <row r="161" spans="20:20" x14ac:dyDescent="0.35">
      <c r="T161" t="str">
        <f t="shared" si="6"/>
        <v/>
      </c>
    </row>
    <row r="162" spans="20:20" x14ac:dyDescent="0.35">
      <c r="T162" t="str">
        <f t="shared" si="6"/>
        <v/>
      </c>
    </row>
    <row r="163" spans="20:20" x14ac:dyDescent="0.35">
      <c r="T163" t="str">
        <f t="shared" si="6"/>
        <v/>
      </c>
    </row>
    <row r="164" spans="20:20" x14ac:dyDescent="0.35">
      <c r="T164" t="str">
        <f t="shared" ref="T164" si="7">TRIM(T97)</f>
        <v/>
      </c>
    </row>
    <row r="165" spans="20:20" x14ac:dyDescent="0.35">
      <c r="T165" t="str">
        <f t="shared" ref="T165:T173" si="8">TRIM(T98)</f>
        <v/>
      </c>
    </row>
    <row r="166" spans="20:20" x14ac:dyDescent="0.35">
      <c r="T166" t="str">
        <f t="shared" si="8"/>
        <v/>
      </c>
    </row>
    <row r="167" spans="20:20" x14ac:dyDescent="0.35">
      <c r="T167" t="str">
        <f t="shared" si="8"/>
        <v/>
      </c>
    </row>
    <row r="168" spans="20:20" x14ac:dyDescent="0.35">
      <c r="T168" t="str">
        <f t="shared" si="8"/>
        <v/>
      </c>
    </row>
    <row r="169" spans="20:20" x14ac:dyDescent="0.35">
      <c r="T169" t="str">
        <f t="shared" si="8"/>
        <v/>
      </c>
    </row>
    <row r="170" spans="20:20" x14ac:dyDescent="0.35">
      <c r="T170" t="str">
        <f t="shared" si="8"/>
        <v/>
      </c>
    </row>
    <row r="171" spans="20:20" x14ac:dyDescent="0.35">
      <c r="T171" t="str">
        <f t="shared" si="8"/>
        <v/>
      </c>
    </row>
    <row r="172" spans="20:20" x14ac:dyDescent="0.35">
      <c r="T172" t="str">
        <f t="shared" si="8"/>
        <v/>
      </c>
    </row>
    <row r="173" spans="20:20" x14ac:dyDescent="0.35">
      <c r="T173" t="str">
        <f t="shared" si="8"/>
        <v/>
      </c>
    </row>
    <row r="174" spans="20:20" x14ac:dyDescent="0.35">
      <c r="T174" t="str">
        <f t="shared" ref="T174" si="9">TRIM(T107)</f>
        <v/>
      </c>
    </row>
    <row r="175" spans="20:20" x14ac:dyDescent="0.35">
      <c r="T175" t="e">
        <f t="shared" ref="T175:T177" si="10">TRIM(T108)</f>
        <v>#REF!</v>
      </c>
    </row>
    <row r="176" spans="20:20" x14ac:dyDescent="0.35">
      <c r="T176" t="str">
        <f t="shared" si="10"/>
        <v/>
      </c>
    </row>
    <row r="177" spans="20:20" x14ac:dyDescent="0.35">
      <c r="T177" t="str">
        <f t="shared" si="10"/>
        <v/>
      </c>
    </row>
    <row r="178" spans="20:20" x14ac:dyDescent="0.35">
      <c r="T178" t="str">
        <f t="shared" ref="T178" si="11">TRIM(T111)</f>
        <v/>
      </c>
    </row>
    <row r="179" spans="20:20" x14ac:dyDescent="0.35">
      <c r="T179" t="str">
        <f t="shared" ref="T179:T189" si="12">TRIM(T112)</f>
        <v/>
      </c>
    </row>
    <row r="180" spans="20:20" x14ac:dyDescent="0.35">
      <c r="T180" t="str">
        <f t="shared" si="12"/>
        <v/>
      </c>
    </row>
    <row r="181" spans="20:20" x14ac:dyDescent="0.35">
      <c r="T181" t="str">
        <f t="shared" si="12"/>
        <v/>
      </c>
    </row>
    <row r="182" spans="20:20" x14ac:dyDescent="0.35">
      <c r="T182" t="str">
        <f t="shared" si="12"/>
        <v/>
      </c>
    </row>
    <row r="183" spans="20:20" x14ac:dyDescent="0.35">
      <c r="T183" t="str">
        <f t="shared" si="12"/>
        <v/>
      </c>
    </row>
    <row r="184" spans="20:20" x14ac:dyDescent="0.35">
      <c r="T184" t="str">
        <f t="shared" si="12"/>
        <v/>
      </c>
    </row>
    <row r="185" spans="20:20" x14ac:dyDescent="0.35">
      <c r="T185" t="str">
        <f t="shared" si="12"/>
        <v/>
      </c>
    </row>
    <row r="186" spans="20:20" x14ac:dyDescent="0.35">
      <c r="T186" t="str">
        <f t="shared" si="12"/>
        <v/>
      </c>
    </row>
    <row r="187" spans="20:20" x14ac:dyDescent="0.35">
      <c r="T187" t="str">
        <f t="shared" si="12"/>
        <v/>
      </c>
    </row>
    <row r="188" spans="20:20" x14ac:dyDescent="0.35">
      <c r="T188" t="str">
        <f t="shared" si="12"/>
        <v/>
      </c>
    </row>
    <row r="189" spans="20:20" x14ac:dyDescent="0.35">
      <c r="T189" t="str">
        <f t="shared" si="12"/>
        <v/>
      </c>
    </row>
    <row r="233" spans="6:16" x14ac:dyDescent="0.35">
      <c r="F233" t="str">
        <f>TRIM(F166)</f>
        <v/>
      </c>
      <c r="G233" t="str">
        <f>TRIM(G166)</f>
        <v/>
      </c>
      <c r="H233" t="str">
        <f>TRIM(H166)</f>
        <v/>
      </c>
      <c r="I233" t="str">
        <f>TRIM(I166)</f>
        <v/>
      </c>
      <c r="J233" t="str">
        <f>TRIM(J166)</f>
        <v/>
      </c>
      <c r="K233" t="str">
        <f>TRIM(K166)</f>
        <v/>
      </c>
      <c r="L233" t="str">
        <f>TRIM(L166)</f>
        <v/>
      </c>
      <c r="M233" t="str">
        <f>TRIM(M166)</f>
        <v/>
      </c>
      <c r="N233" t="str">
        <f>TRIM(N166)</f>
        <v/>
      </c>
      <c r="O233" t="str">
        <f>TRIM(O166)</f>
        <v/>
      </c>
      <c r="P233" t="str">
        <f>TRIM(P166)</f>
        <v/>
      </c>
    </row>
    <row r="234" spans="6:16" x14ac:dyDescent="0.35">
      <c r="F234" t="str">
        <f>TRIM(F167)</f>
        <v/>
      </c>
      <c r="G234" t="str">
        <f>TRIM(G167)</f>
        <v/>
      </c>
      <c r="H234" t="str">
        <f>TRIM(H167)</f>
        <v/>
      </c>
      <c r="I234" t="str">
        <f>TRIM(I167)</f>
        <v/>
      </c>
      <c r="J234" t="str">
        <f>TRIM(J167)</f>
        <v/>
      </c>
      <c r="K234" t="str">
        <f>TRIM(K167)</f>
        <v/>
      </c>
      <c r="L234" t="str">
        <f>TRIM(L167)</f>
        <v/>
      </c>
      <c r="M234" t="str">
        <f>TRIM(M167)</f>
        <v/>
      </c>
      <c r="N234" t="str">
        <f>TRIM(N167)</f>
        <v/>
      </c>
      <c r="O234" t="str">
        <f>TRIM(O167)</f>
        <v/>
      </c>
      <c r="P234" t="str">
        <f>TRIM(P167)</f>
        <v/>
      </c>
    </row>
    <row r="235" spans="6:16" x14ac:dyDescent="0.35">
      <c r="F235" t="str">
        <f>TRIM(F168)</f>
        <v/>
      </c>
      <c r="G235" t="str">
        <f>TRIM(G168)</f>
        <v/>
      </c>
      <c r="H235" t="str">
        <f>TRIM(H168)</f>
        <v/>
      </c>
      <c r="I235" t="str">
        <f>TRIM(I168)</f>
        <v/>
      </c>
      <c r="J235" t="str">
        <f>TRIM(J168)</f>
        <v/>
      </c>
      <c r="K235" t="str">
        <f>TRIM(K168)</f>
        <v/>
      </c>
      <c r="L235" t="str">
        <f>TRIM(L168)</f>
        <v/>
      </c>
      <c r="M235" t="str">
        <f>TRIM(M168)</f>
        <v/>
      </c>
      <c r="N235" t="str">
        <f>TRIM(N168)</f>
        <v/>
      </c>
      <c r="O235" t="str">
        <f>TRIM(O168)</f>
        <v/>
      </c>
      <c r="P235" t="str">
        <f>TRIM(P168)</f>
        <v/>
      </c>
    </row>
    <row r="236" spans="6:16" x14ac:dyDescent="0.35">
      <c r="F236" t="str">
        <f>TRIM(F169)</f>
        <v/>
      </c>
      <c r="G236" t="str">
        <f>TRIM(G169)</f>
        <v/>
      </c>
      <c r="H236" t="str">
        <f>TRIM(H169)</f>
        <v/>
      </c>
      <c r="I236" t="str">
        <f>TRIM(I169)</f>
        <v/>
      </c>
      <c r="J236" t="str">
        <f>TRIM(J169)</f>
        <v/>
      </c>
      <c r="K236" t="str">
        <f>TRIM(K169)</f>
        <v/>
      </c>
      <c r="L236" t="str">
        <f>TRIM(L169)</f>
        <v/>
      </c>
      <c r="M236" t="str">
        <f>TRIM(M169)</f>
        <v/>
      </c>
      <c r="N236" t="str">
        <f>TRIM(N169)</f>
        <v/>
      </c>
      <c r="O236" t="str">
        <f>TRIM(O169)</f>
        <v/>
      </c>
      <c r="P236" t="str">
        <f>TRIM(P169)</f>
        <v/>
      </c>
    </row>
    <row r="237" spans="6:16" x14ac:dyDescent="0.35">
      <c r="F237" t="str">
        <f>TRIM(F170)</f>
        <v/>
      </c>
      <c r="G237" t="str">
        <f>TRIM(G170)</f>
        <v/>
      </c>
      <c r="H237" t="str">
        <f>TRIM(H170)</f>
        <v/>
      </c>
      <c r="I237" t="str">
        <f>TRIM(I170)</f>
        <v/>
      </c>
      <c r="J237" t="str">
        <f>TRIM(J170)</f>
        <v/>
      </c>
      <c r="K237" t="str">
        <f>TRIM(K170)</f>
        <v/>
      </c>
      <c r="L237" t="str">
        <f>TRIM(L170)</f>
        <v/>
      </c>
      <c r="M237" t="str">
        <f>TRIM(M170)</f>
        <v/>
      </c>
      <c r="N237" t="str">
        <f>TRIM(N170)</f>
        <v/>
      </c>
      <c r="O237" t="str">
        <f>TRIM(O170)</f>
        <v/>
      </c>
      <c r="P237" t="str">
        <f>TRIM(P170)</f>
        <v/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Lawrence</dc:creator>
  <cp:lastModifiedBy>Kurt Lawrence</cp:lastModifiedBy>
  <dcterms:created xsi:type="dcterms:W3CDTF">2026-04-09T16:48:47Z</dcterms:created>
  <dcterms:modified xsi:type="dcterms:W3CDTF">2026-04-15T21:21:17Z</dcterms:modified>
</cp:coreProperties>
</file>